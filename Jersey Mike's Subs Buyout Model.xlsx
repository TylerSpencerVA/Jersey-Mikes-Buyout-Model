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2df6c5ece268d3f/Documents/Professional/Finance Modeling Projects/Jersey Mike's Returns Model/"/>
    </mc:Choice>
  </mc:AlternateContent>
  <xr:revisionPtr revIDLastSave="0" documentId="8_{0BF09723-992E-4519-BEAC-B8C6E02B51C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ver" sheetId="1" r:id="rId1"/>
    <sheet name="Assumptions &amp; Financials" sheetId="2" r:id="rId2"/>
    <sheet name="LBO Entry" sheetId="3" r:id="rId3"/>
    <sheet name="LBO Exit" sheetId="4" r:id="rId4"/>
  </sheets>
  <definedNames>
    <definedName name="_xlnm.Print_Area" localSheetId="1">'Assumptions &amp; Financials'!$A$1:$G$51</definedName>
    <definedName name="_xlnm.Print_Area" localSheetId="0">Cover!$A$1:$J$30</definedName>
    <definedName name="_xlnm.Print_Area" localSheetId="2">'LBO Entry'!$A$1:$J$28</definedName>
    <definedName name="_xlnm.Print_Area" localSheetId="3">'LBO Exit'!$A$1:$K$25</definedName>
    <definedName name="_xlnm.Print_Titles" localSheetId="1">'Assumptions &amp; Financials'!$1:$4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" i="4" l="1"/>
  <c r="F9" i="4"/>
  <c r="F8" i="4" s="1"/>
  <c r="F10" i="4"/>
  <c r="F12" i="4"/>
  <c r="B2" i="2"/>
  <c r="B2" i="3" s="1"/>
  <c r="B2" i="4" s="1"/>
  <c r="J15" i="4"/>
  <c r="I15" i="4"/>
  <c r="F23" i="3"/>
  <c r="E12" i="3"/>
  <c r="D23" i="3" s="1"/>
  <c r="H23" i="3" s="1"/>
  <c r="E9" i="3"/>
  <c r="E8" i="3"/>
  <c r="B13" i="1"/>
  <c r="G36" i="2"/>
  <c r="E36" i="2"/>
  <c r="G29" i="2"/>
  <c r="F29" i="2"/>
  <c r="G27" i="2"/>
  <c r="E27" i="2"/>
  <c r="E30" i="2" s="1"/>
  <c r="E34" i="2" s="1"/>
  <c r="F26" i="2"/>
  <c r="F25" i="2"/>
  <c r="F36" i="2" s="1"/>
  <c r="F24" i="2"/>
  <c r="F23" i="2"/>
  <c r="F22" i="2"/>
  <c r="B20" i="4" l="1"/>
  <c r="J20" i="4" s="1"/>
  <c r="H24" i="3"/>
  <c r="C22" i="3"/>
  <c r="G30" i="2"/>
  <c r="G34" i="2" s="1"/>
  <c r="G37" i="2"/>
  <c r="G45" i="2" s="1"/>
  <c r="E13" i="3"/>
  <c r="D24" i="3"/>
  <c r="J23" i="3"/>
  <c r="J24" i="3" s="1"/>
  <c r="E10" i="3"/>
  <c r="E37" i="2"/>
  <c r="E42" i="2" s="1"/>
  <c r="F27" i="2"/>
  <c r="B21" i="4" l="1"/>
  <c r="B22" i="4" s="1"/>
  <c r="B23" i="4" s="1"/>
  <c r="J23" i="4" s="1"/>
  <c r="B19" i="4"/>
  <c r="B18" i="4" s="1"/>
  <c r="J18" i="4" s="1"/>
  <c r="G46" i="2"/>
  <c r="F37" i="2"/>
  <c r="F42" i="2" s="1"/>
  <c r="F30" i="2"/>
  <c r="F34" i="2" s="1"/>
  <c r="C16" i="3"/>
  <c r="H27" i="3"/>
  <c r="C17" i="3" s="1"/>
  <c r="F13" i="4"/>
  <c r="B17" i="4"/>
  <c r="J19" i="4" l="1"/>
  <c r="J21" i="4"/>
  <c r="J22" i="4"/>
  <c r="C18" i="3"/>
  <c r="D25" i="3" s="1"/>
  <c r="D26" i="3" s="1"/>
  <c r="C25" i="3" l="1"/>
  <c r="C26" i="3" s="1"/>
  <c r="I20" i="4"/>
  <c r="I23" i="4"/>
  <c r="I19" i="4"/>
  <c r="I17" i="4"/>
  <c r="I22" i="4"/>
  <c r="I18" i="4"/>
  <c r="I21" i="4"/>
  <c r="H19" i="4" l="1"/>
  <c r="G19" i="4"/>
  <c r="G21" i="4"/>
  <c r="H21" i="4"/>
  <c r="H22" i="4"/>
  <c r="G22" i="4"/>
  <c r="H23" i="4"/>
  <c r="D21" i="1" s="1"/>
  <c r="G23" i="4"/>
  <c r="C21" i="1" s="1"/>
  <c r="H18" i="4"/>
  <c r="G18" i="4"/>
  <c r="H17" i="4"/>
  <c r="D23" i="1" s="1"/>
  <c r="G17" i="4"/>
  <c r="C23" i="1" s="1"/>
  <c r="H20" i="4"/>
  <c r="D22" i="1" s="1"/>
  <c r="G20" i="4"/>
  <c r="C22" i="1" s="1"/>
  <c r="E46" i="2" l="1"/>
  <c r="F4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1" authorId="0" shapeId="0" xr:uid="{00000000-0006-0000-0000-000001000000}">
      <text>
        <r>
          <rPr>
            <sz val="10"/>
            <rFont val="Arial"/>
            <family val="2"/>
          </rPr>
          <t>Tyler S:
Snapshots of each case - not live.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2" authorId="0" shapeId="0" xr:uid="{00000000-0006-0000-0100-000004000000}">
      <text>
        <r>
          <rPr>
            <sz val="10"/>
            <rFont val="Arial"/>
            <family val="2"/>
          </rPr>
          <t>Tyler S:
Jersey Mike's S-1 filed 7-2-26</t>
        </r>
      </text>
    </comment>
  </commentList>
</comments>
</file>

<file path=xl/sharedStrings.xml><?xml version="1.0" encoding="utf-8"?>
<sst xmlns="http://schemas.openxmlformats.org/spreadsheetml/2006/main" count="91" uniqueCount="84">
  <si>
    <t>By: Tyler Spencer</t>
  </si>
  <si>
    <t>SPONSOR RETURNS</t>
  </si>
  <si>
    <t>Scenario</t>
  </si>
  <si>
    <t>MOIC</t>
  </si>
  <si>
    <t>IRR</t>
  </si>
  <si>
    <t>Best Case (Bull)</t>
  </si>
  <si>
    <t>Base Case</t>
  </si>
  <si>
    <t>Worst Case (Bear)</t>
  </si>
  <si>
    <t>($ Millions)</t>
  </si>
  <si>
    <t>Transaction Assumptions</t>
  </si>
  <si>
    <t>Entry Enterprise Value</t>
  </si>
  <si>
    <t>Entry Close Date</t>
  </si>
  <si>
    <t>Net Debt at Entry</t>
  </si>
  <si>
    <t>Founder Equity</t>
  </si>
  <si>
    <t>Transaction Fees</t>
  </si>
  <si>
    <t>Exit Close Date</t>
  </si>
  <si>
    <t>Exit EBITDA</t>
  </si>
  <si>
    <t>Company Financials</t>
  </si>
  <si>
    <t>Q1 2026A</t>
  </si>
  <si>
    <t>Revenue</t>
  </si>
  <si>
    <t>Selling, General, &amp; Administrative</t>
  </si>
  <si>
    <t>Advertising Expense</t>
  </si>
  <si>
    <t>Depreciation &amp; Amortization</t>
  </si>
  <si>
    <t>Company-owned stores expenses</t>
  </si>
  <si>
    <t>EBIT</t>
  </si>
  <si>
    <t>Interest Income (Expense)</t>
  </si>
  <si>
    <t>EBT</t>
  </si>
  <si>
    <t>Income Tax Expense</t>
  </si>
  <si>
    <t>Net Income</t>
  </si>
  <si>
    <t>Depreciation &amp; Amoritzation</t>
  </si>
  <si>
    <t>EBITDA</t>
  </si>
  <si>
    <t>Add: Equity-based compensation</t>
  </si>
  <si>
    <t>Add: Acquisition-related expenses</t>
  </si>
  <si>
    <t>Add: IPO-related expenses</t>
  </si>
  <si>
    <t>Add: Founder discretionary expenses</t>
  </si>
  <si>
    <t>Add: Area Director buyouts</t>
  </si>
  <si>
    <t>Add: Corporate transition &amp; other</t>
  </si>
  <si>
    <t>Adjusted EBITDA</t>
  </si>
  <si>
    <t>Note: 2025 splits Predecessor (pre-1/16/25) and Successor periods on different accounting bases (pushdown/purchase accounting); combined here.</t>
  </si>
  <si>
    <t>Initial Valuation</t>
  </si>
  <si>
    <t>Enterprise Value</t>
  </si>
  <si>
    <t>Equity Purchase Price</t>
  </si>
  <si>
    <t>Entry LTM Adj. EBITDA (FY2024)</t>
  </si>
  <si>
    <t>Implied EV / LTM EBITDA</t>
  </si>
  <si>
    <t>Uses of Funds</t>
  </si>
  <si>
    <t>Buyout of equity</t>
  </si>
  <si>
    <t>Fees (transaction &amp; financing)</t>
  </si>
  <si>
    <t>Total Uses</t>
  </si>
  <si>
    <t>Sources of Funds</t>
  </si>
  <si>
    <t>Fees</t>
  </si>
  <si>
    <t>EBITDA turns</t>
  </si>
  <si>
    <t>$ investment</t>
  </si>
  <si>
    <t>% fees</t>
  </si>
  <si>
    <t>Fee</t>
  </si>
  <si>
    <t>Term</t>
  </si>
  <si>
    <t>Excess cash</t>
  </si>
  <si>
    <t>Financing fees</t>
  </si>
  <si>
    <t>Rollover Equity</t>
  </si>
  <si>
    <t>Sponsor equity</t>
  </si>
  <si>
    <t>Total Sources</t>
  </si>
  <si>
    <t>% of offer value</t>
  </si>
  <si>
    <t>Trans. fees</t>
  </si>
  <si>
    <t>Exit Valuation</t>
  </si>
  <si>
    <t>Less: Net Debt</t>
  </si>
  <si>
    <t>Exit Equity</t>
  </si>
  <si>
    <t>Sponsor's Equity at exit EBITDA multiple of:</t>
  </si>
  <si>
    <t>D&amp;A and interest step up materially post-acquisition. FY2024 founder-discretionary add-back is a derived plug to the disclosed $263M</t>
  </si>
  <si>
    <t xml:space="preserve"> (no line-item full-year 2024 recon in S-1).</t>
  </si>
  <si>
    <t>2025A</t>
  </si>
  <si>
    <t>2024A</t>
  </si>
  <si>
    <t>Fee / year</t>
  </si>
  <si>
    <t>Assumptions &amp; Financials</t>
  </si>
  <si>
    <t>Jersey Mike's Subs</t>
  </si>
  <si>
    <t>LBO Exit Valuation</t>
  </si>
  <si>
    <t>LBO Entry Valuation</t>
  </si>
  <si>
    <t>Entry LTM EBITDA</t>
  </si>
  <si>
    <t>Less: Net debt</t>
  </si>
  <si>
    <t>EBITDA Multiple</t>
  </si>
  <si>
    <t>Other Expense</t>
  </si>
  <si>
    <t>Net Debt at Exit</t>
  </si>
  <si>
    <t>New Debt</t>
  </si>
  <si>
    <t>Exit Enterprise Value</t>
  </si>
  <si>
    <t>Buyout Model</t>
  </si>
  <si>
    <t>Exit 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</si>
</sst>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%"/>
    <numFmt numFmtId="165" formatCode="0.00\x"/>
    <numFmt numFmtId="166" formatCode="_(* #,##0.0_);_(* \(#,##0.0\);_(* \-??_);_(@_)"/>
    <numFmt numFmtId="167" formatCode="_(\$* #,##0.00_);_(\$* \(#,##0.00\);_(\$* \-??_);_(@_)"/>
    <numFmt numFmtId="168" formatCode="0.0\x"/>
    <numFmt numFmtId="169" formatCode="_(* #,##0_);_(* \(#,##0\);_(* \-??_);_(@_)"/>
    <numFmt numFmtId="170" formatCode="_(* #,##0.0_);_(* \(#,##0.0\);_(* \-?_);_(@_)"/>
    <numFmt numFmtId="171" formatCode="#,##0.0_);\(#,##0.0\)"/>
    <numFmt numFmtId="172" formatCode="0&quot; yrs&quot;"/>
    <numFmt numFmtId="173" formatCode="_(* #,##0.0_);_(* \(#,##0.0\);_(* &quot;-&quot;??_);_(@_)"/>
    <numFmt numFmtId="174" formatCode="0.0"/>
    <numFmt numFmtId="175" formatCode="_(* #,##0.0_);_(* \(#,##0.0\);_(* &quot;-&quot;?_);_(@_)"/>
  </numFmts>
  <fonts count="38" x14ac:knownFonts="1">
    <font>
      <sz val="11"/>
      <color theme="1"/>
      <name val="Aptos Narrow"/>
      <family val="2"/>
      <charset val="1"/>
    </font>
    <font>
      <sz val="10"/>
      <name val="Arial"/>
      <family val="2"/>
    </font>
    <font>
      <b/>
      <sz val="18"/>
      <color rgb="FF003366"/>
      <name val="Cambria"/>
      <family val="2"/>
      <charset val="1"/>
    </font>
    <font>
      <sz val="11"/>
      <color theme="1"/>
      <name val="Arial"/>
      <family val="2"/>
      <charset val="1"/>
    </font>
    <font>
      <b/>
      <sz val="36"/>
      <color rgb="FF002F6C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9B73"/>
      <name val="Arial"/>
      <family val="2"/>
      <charset val="1"/>
    </font>
    <font>
      <b/>
      <sz val="10"/>
      <color rgb="FF009B73"/>
      <name val="Arial"/>
      <family val="2"/>
      <charset val="1"/>
    </font>
    <font>
      <i/>
      <sz val="9"/>
      <color rgb="FF002F6C"/>
      <name val="Arial"/>
      <family val="2"/>
      <charset val="1"/>
    </font>
    <font>
      <sz val="10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/>
      <sz val="18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i/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  <charset val="1"/>
    </font>
    <font>
      <b/>
      <sz val="10"/>
      <color theme="1"/>
      <name val="Arial"/>
      <family val="2"/>
      <charset val="1"/>
    </font>
    <font>
      <i/>
      <sz val="8"/>
      <name val="Arial"/>
      <family val="2"/>
    </font>
    <font>
      <u/>
      <sz val="10"/>
      <color rgb="FF000000"/>
      <name val="Arial"/>
      <family val="2"/>
      <charset val="1"/>
    </font>
    <font>
      <i/>
      <sz val="10"/>
      <color rgb="FF0000FF"/>
      <name val="Arial"/>
      <family val="2"/>
      <charset val="1"/>
    </font>
    <font>
      <i/>
      <sz val="10"/>
      <color theme="1"/>
      <name val="Arial"/>
      <family val="2"/>
      <charset val="1"/>
    </font>
    <font>
      <b/>
      <i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sz val="11"/>
      <color theme="1"/>
      <name val="Aptos Narrow"/>
      <family val="2"/>
      <charset val="1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134A7C"/>
        <bgColor rgb="FF003366"/>
      </patternFill>
    </fill>
    <fill>
      <patternFill patternType="solid">
        <fgColor rgb="FFEE3227"/>
        <bgColor rgb="FFFF66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EE322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Border="0" applyAlignment="0" applyProtection="0"/>
    <xf numFmtId="0" fontId="2" fillId="0" borderId="0"/>
    <xf numFmtId="43" fontId="36" fillId="0" borderId="0" applyFont="0" applyFill="0" applyBorder="0" applyAlignment="0" applyProtection="0"/>
  </cellStyleXfs>
  <cellXfs count="122">
    <xf numFmtId="0" fontId="0" fillId="0" borderId="0" xfId="0"/>
    <xf numFmtId="0" fontId="3" fillId="2" borderId="0" xfId="0" applyFont="1" applyFill="1"/>
    <xf numFmtId="0" fontId="0" fillId="2" borderId="0" xfId="0" applyFill="1"/>
    <xf numFmtId="0" fontId="3" fillId="2" borderId="1" xfId="0" applyFont="1" applyFill="1" applyBorder="1"/>
    <xf numFmtId="164" fontId="3" fillId="2" borderId="0" xfId="0" applyNumberFormat="1" applyFont="1" applyFill="1"/>
    <xf numFmtId="0" fontId="4" fillId="2" borderId="0" xfId="0" applyFont="1" applyFill="1"/>
    <xf numFmtId="37" fontId="3" fillId="2" borderId="0" xfId="0" applyNumberFormat="1" applyFont="1" applyFill="1"/>
    <xf numFmtId="14" fontId="3" fillId="2" borderId="0" xfId="0" applyNumberFormat="1" applyFont="1" applyFill="1"/>
    <xf numFmtId="165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/>
    <xf numFmtId="14" fontId="5" fillId="2" borderId="0" xfId="0" applyNumberFormat="1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vertical="top" wrapText="1"/>
    </xf>
    <xf numFmtId="0" fontId="6" fillId="2" borderId="0" xfId="0" applyFont="1" applyFill="1"/>
    <xf numFmtId="0" fontId="7" fillId="2" borderId="0" xfId="0" applyFont="1" applyFill="1"/>
    <xf numFmtId="0" fontId="8" fillId="3" borderId="2" xfId="0" applyFont="1" applyFill="1" applyBorder="1"/>
    <xf numFmtId="0" fontId="8" fillId="3" borderId="3" xfId="0" applyFont="1" applyFill="1" applyBorder="1"/>
    <xf numFmtId="0" fontId="8" fillId="3" borderId="4" xfId="0" applyFont="1" applyFill="1" applyBorder="1"/>
    <xf numFmtId="0" fontId="8" fillId="2" borderId="0" xfId="0" applyFont="1" applyFill="1"/>
    <xf numFmtId="0" fontId="9" fillId="4" borderId="5" xfId="0" applyFont="1" applyFill="1" applyBorder="1"/>
    <xf numFmtId="0" fontId="9" fillId="4" borderId="0" xfId="0" applyFont="1" applyFill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0" fillId="2" borderId="5" xfId="0" applyFont="1" applyFill="1" applyBorder="1"/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0" xfId="0" applyFont="1" applyFill="1"/>
    <xf numFmtId="0" fontId="11" fillId="2" borderId="5" xfId="0" applyFont="1" applyFill="1" applyBorder="1"/>
    <xf numFmtId="165" fontId="12" fillId="2" borderId="0" xfId="0" applyNumberFormat="1" applyFont="1" applyFill="1" applyAlignment="1">
      <alignment horizontal="center"/>
    </xf>
    <xf numFmtId="164" fontId="12" fillId="2" borderId="6" xfId="0" applyNumberFormat="1" applyFont="1" applyFill="1" applyBorder="1" applyAlignment="1">
      <alignment horizontal="center"/>
    </xf>
    <xf numFmtId="0" fontId="11" fillId="2" borderId="0" xfId="0" applyFont="1" applyFill="1"/>
    <xf numFmtId="167" fontId="12" fillId="2" borderId="0" xfId="0" applyNumberFormat="1" applyFont="1" applyFill="1" applyAlignment="1">
      <alignment horizontal="center"/>
    </xf>
    <xf numFmtId="165" fontId="13" fillId="2" borderId="0" xfId="0" applyNumberFormat="1" applyFont="1" applyFill="1" applyAlignment="1">
      <alignment horizontal="center"/>
    </xf>
    <xf numFmtId="164" fontId="13" fillId="2" borderId="6" xfId="0" applyNumberFormat="1" applyFont="1" applyFill="1" applyBorder="1" applyAlignment="1">
      <alignment horizontal="center"/>
    </xf>
    <xf numFmtId="0" fontId="14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 applyAlignment="1">
      <alignment horizontal="right"/>
    </xf>
    <xf numFmtId="0" fontId="20" fillId="2" borderId="0" xfId="0" applyFont="1" applyFill="1"/>
    <xf numFmtId="0" fontId="21" fillId="2" borderId="0" xfId="0" applyFont="1" applyFill="1"/>
    <xf numFmtId="0" fontId="22" fillId="3" borderId="2" xfId="0" applyFont="1" applyFill="1" applyBorder="1"/>
    <xf numFmtId="0" fontId="23" fillId="3" borderId="3" xfId="0" applyFont="1" applyFill="1" applyBorder="1"/>
    <xf numFmtId="0" fontId="23" fillId="3" borderId="4" xfId="0" applyFont="1" applyFill="1" applyBorder="1"/>
    <xf numFmtId="0" fontId="15" fillId="4" borderId="5" xfId="0" applyFont="1" applyFill="1" applyBorder="1"/>
    <xf numFmtId="0" fontId="15" fillId="4" borderId="0" xfId="0" applyFont="1" applyFill="1"/>
    <xf numFmtId="0" fontId="15" fillId="4" borderId="6" xfId="0" applyFont="1" applyFill="1" applyBorder="1"/>
    <xf numFmtId="166" fontId="24" fillId="2" borderId="6" xfId="0" applyNumberFormat="1" applyFont="1" applyFill="1" applyBorder="1"/>
    <xf numFmtId="14" fontId="24" fillId="2" borderId="6" xfId="0" applyNumberFormat="1" applyFont="1" applyFill="1" applyBorder="1"/>
    <xf numFmtId="164" fontId="24" fillId="2" borderId="6" xfId="0" applyNumberFormat="1" applyFont="1" applyFill="1" applyBorder="1"/>
    <xf numFmtId="0" fontId="11" fillId="2" borderId="7" xfId="0" applyFont="1" applyFill="1" applyBorder="1"/>
    <xf numFmtId="0" fontId="15" fillId="2" borderId="8" xfId="0" applyFont="1" applyFill="1" applyBorder="1"/>
    <xf numFmtId="0" fontId="3" fillId="0" borderId="0" xfId="0" applyFont="1"/>
    <xf numFmtId="0" fontId="15" fillId="2" borderId="5" xfId="0" applyFont="1" applyFill="1" applyBorder="1"/>
    <xf numFmtId="171" fontId="12" fillId="2" borderId="6" xfId="0" applyNumberFormat="1" applyFont="1" applyFill="1" applyBorder="1" applyProtection="1">
      <protection locked="0"/>
    </xf>
    <xf numFmtId="171" fontId="28" fillId="2" borderId="4" xfId="0" applyNumberFormat="1" applyFont="1" applyFill="1" applyBorder="1"/>
    <xf numFmtId="0" fontId="15" fillId="2" borderId="6" xfId="0" applyFont="1" applyFill="1" applyBorder="1"/>
    <xf numFmtId="0" fontId="15" fillId="2" borderId="7" xfId="0" applyFont="1" applyFill="1" applyBorder="1"/>
    <xf numFmtId="168" fontId="10" fillId="2" borderId="11" xfId="0" applyNumberFormat="1" applyFont="1" applyFill="1" applyBorder="1"/>
    <xf numFmtId="0" fontId="11" fillId="2" borderId="0" xfId="0" applyFont="1" applyFill="1" applyAlignment="1">
      <alignment horizontal="left" indent="1"/>
    </xf>
    <xf numFmtId="171" fontId="11" fillId="2" borderId="0" xfId="0" applyNumberFormat="1" applyFont="1" applyFill="1"/>
    <xf numFmtId="171" fontId="10" fillId="2" borderId="0" xfId="0" applyNumberFormat="1" applyFont="1" applyFill="1"/>
    <xf numFmtId="164" fontId="24" fillId="2" borderId="0" xfId="0" applyNumberFormat="1" applyFont="1" applyFill="1"/>
    <xf numFmtId="0" fontId="30" fillId="2" borderId="0" xfId="0" applyFont="1" applyFill="1" applyAlignment="1">
      <alignment horizontal="right"/>
    </xf>
    <xf numFmtId="168" fontId="20" fillId="2" borderId="0" xfId="0" applyNumberFormat="1" applyFont="1" applyFill="1" applyAlignment="1">
      <alignment horizontal="center"/>
    </xf>
    <xf numFmtId="168" fontId="31" fillId="2" borderId="0" xfId="0" applyNumberFormat="1" applyFont="1" applyFill="1" applyAlignment="1" applyProtection="1">
      <alignment horizontal="center"/>
      <protection locked="0"/>
    </xf>
    <xf numFmtId="172" fontId="24" fillId="2" borderId="0" xfId="0" applyNumberFormat="1" applyFont="1" applyFill="1"/>
    <xf numFmtId="171" fontId="11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left" indent="2"/>
    </xf>
    <xf numFmtId="0" fontId="32" fillId="2" borderId="0" xfId="0" applyFont="1" applyFill="1" applyAlignment="1">
      <alignment horizontal="left" indent="1"/>
    </xf>
    <xf numFmtId="168" fontId="20" fillId="2" borderId="0" xfId="0" applyNumberFormat="1" applyFont="1" applyFill="1" applyAlignment="1" applyProtection="1">
      <alignment horizontal="center"/>
      <protection locked="0"/>
    </xf>
    <xf numFmtId="171" fontId="28" fillId="2" borderId="0" xfId="0" applyNumberFormat="1" applyFont="1" applyFill="1"/>
    <xf numFmtId="0" fontId="10" fillId="2" borderId="0" xfId="0" applyFont="1" applyFill="1" applyAlignment="1">
      <alignment horizontal="left"/>
    </xf>
    <xf numFmtId="168" fontId="33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left" indent="1"/>
    </xf>
    <xf numFmtId="171" fontId="15" fillId="2" borderId="0" xfId="0" applyNumberFormat="1" applyFont="1" applyFill="1"/>
    <xf numFmtId="171" fontId="28" fillId="2" borderId="11" xfId="0" applyNumberFormat="1" applyFont="1" applyFill="1" applyBorder="1"/>
    <xf numFmtId="0" fontId="11" fillId="2" borderId="0" xfId="0" applyFont="1" applyFill="1" applyAlignment="1">
      <alignment horizontal="left"/>
    </xf>
    <xf numFmtId="0" fontId="15" fillId="2" borderId="0" xfId="0" applyFont="1" applyFill="1" applyAlignment="1">
      <alignment horizontal="right"/>
    </xf>
    <xf numFmtId="171" fontId="15" fillId="2" borderId="0" xfId="0" applyNumberFormat="1" applyFont="1" applyFill="1" applyAlignment="1">
      <alignment horizontal="right"/>
    </xf>
    <xf numFmtId="14" fontId="12" fillId="2" borderId="0" xfId="0" applyNumberFormat="1" applyFont="1" applyFill="1"/>
    <xf numFmtId="165" fontId="34" fillId="2" borderId="0" xfId="0" applyNumberFormat="1" applyFont="1" applyFill="1"/>
    <xf numFmtId="10" fontId="15" fillId="2" borderId="8" xfId="0" applyNumberFormat="1" applyFont="1" applyFill="1" applyBorder="1"/>
    <xf numFmtId="0" fontId="15" fillId="5" borderId="0" xfId="0" applyFont="1" applyFill="1"/>
    <xf numFmtId="0" fontId="21" fillId="5" borderId="0" xfId="0" applyFont="1" applyFill="1"/>
    <xf numFmtId="0" fontId="0" fillId="5" borderId="0" xfId="0" applyFill="1"/>
    <xf numFmtId="0" fontId="10" fillId="5" borderId="0" xfId="0" applyFont="1" applyFill="1"/>
    <xf numFmtId="0" fontId="25" fillId="5" borderId="0" xfId="0" applyFont="1" applyFill="1" applyAlignment="1">
      <alignment horizontal="right"/>
    </xf>
    <xf numFmtId="0" fontId="11" fillId="5" borderId="0" xfId="0" applyFont="1" applyFill="1"/>
    <xf numFmtId="0" fontId="27" fillId="5" borderId="0" xfId="0" applyFont="1" applyFill="1"/>
    <xf numFmtId="170" fontId="28" fillId="5" borderId="3" xfId="0" applyNumberFormat="1" applyFont="1" applyFill="1" applyBorder="1"/>
    <xf numFmtId="0" fontId="25" fillId="6" borderId="0" xfId="0" applyFont="1" applyFill="1"/>
    <xf numFmtId="164" fontId="26" fillId="6" borderId="0" xfId="0" applyNumberFormat="1" applyFont="1" applyFill="1"/>
    <xf numFmtId="0" fontId="29" fillId="6" borderId="0" xfId="0" applyFont="1" applyFill="1"/>
    <xf numFmtId="0" fontId="18" fillId="2" borderId="0" xfId="0" applyFont="1" applyFill="1" applyAlignment="1">
      <alignment horizontal="centerContinuous"/>
    </xf>
    <xf numFmtId="0" fontId="19" fillId="2" borderId="10" xfId="0" applyFont="1" applyFill="1" applyBorder="1" applyAlignment="1">
      <alignment horizontal="centerContinuous"/>
    </xf>
    <xf numFmtId="170" fontId="35" fillId="5" borderId="3" xfId="0" applyNumberFormat="1" applyFont="1" applyFill="1" applyBorder="1"/>
    <xf numFmtId="14" fontId="34" fillId="2" borderId="0" xfId="0" applyNumberFormat="1" applyFont="1" applyFill="1" applyAlignment="1">
      <alignment horizontal="center"/>
    </xf>
    <xf numFmtId="165" fontId="34" fillId="2" borderId="0" xfId="0" applyNumberFormat="1" applyFont="1" applyFill="1" applyAlignment="1">
      <alignment horizontal="center"/>
    </xf>
    <xf numFmtId="10" fontId="1" fillId="6" borderId="0" xfId="1" applyNumberFormat="1" applyFill="1" applyAlignment="1">
      <alignment horizontal="center"/>
    </xf>
    <xf numFmtId="0" fontId="30" fillId="2" borderId="0" xfId="0" applyFont="1" applyFill="1" applyAlignment="1">
      <alignment horizontal="center"/>
    </xf>
    <xf numFmtId="171" fontId="24" fillId="2" borderId="0" xfId="0" applyNumberFormat="1" applyFont="1" applyFill="1" applyAlignment="1">
      <alignment horizontal="center"/>
    </xf>
    <xf numFmtId="171" fontId="11" fillId="2" borderId="0" xfId="0" applyNumberFormat="1" applyFont="1" applyFill="1" applyAlignment="1">
      <alignment horizontal="center"/>
    </xf>
    <xf numFmtId="171" fontId="10" fillId="2" borderId="0" xfId="0" applyNumberFormat="1" applyFont="1" applyFill="1" applyAlignment="1">
      <alignment horizontal="center"/>
    </xf>
    <xf numFmtId="10" fontId="3" fillId="2" borderId="0" xfId="0" applyNumberFormat="1" applyFont="1" applyFill="1"/>
    <xf numFmtId="166" fontId="26" fillId="5" borderId="0" xfId="0" applyNumberFormat="1" applyFont="1" applyFill="1"/>
    <xf numFmtId="166" fontId="26" fillId="5" borderId="8" xfId="0" applyNumberFormat="1" applyFont="1" applyFill="1" applyBorder="1"/>
    <xf numFmtId="166" fontId="25" fillId="5" borderId="0" xfId="0" applyNumberFormat="1" applyFont="1" applyFill="1"/>
    <xf numFmtId="166" fontId="15" fillId="5" borderId="0" xfId="0" applyNumberFormat="1" applyFont="1" applyFill="1"/>
    <xf numFmtId="168" fontId="12" fillId="2" borderId="9" xfId="0" applyNumberFormat="1" applyFont="1" applyFill="1" applyBorder="1"/>
    <xf numFmtId="0" fontId="26" fillId="2" borderId="0" xfId="0" applyFont="1" applyFill="1"/>
    <xf numFmtId="169" fontId="26" fillId="2" borderId="0" xfId="0" applyNumberFormat="1" applyFont="1" applyFill="1"/>
    <xf numFmtId="173" fontId="24" fillId="2" borderId="6" xfId="3" applyNumberFormat="1" applyFont="1" applyFill="1" applyBorder="1"/>
    <xf numFmtId="171" fontId="12" fillId="2" borderId="6" xfId="0" applyNumberFormat="1" applyFont="1" applyFill="1" applyBorder="1"/>
    <xf numFmtId="171" fontId="13" fillId="2" borderId="4" xfId="0" applyNumberFormat="1" applyFont="1" applyFill="1" applyBorder="1"/>
    <xf numFmtId="164" fontId="24" fillId="2" borderId="9" xfId="0" applyNumberFormat="1" applyFont="1" applyFill="1" applyBorder="1"/>
    <xf numFmtId="174" fontId="34" fillId="2" borderId="6" xfId="0" applyNumberFormat="1" applyFont="1" applyFill="1" applyBorder="1"/>
    <xf numFmtId="168" fontId="37" fillId="2" borderId="6" xfId="0" applyNumberFormat="1" applyFont="1" applyFill="1" applyBorder="1"/>
    <xf numFmtId="175" fontId="15" fillId="5" borderId="0" xfId="0" applyNumberFormat="1" applyFont="1" applyFill="1"/>
  </cellXfs>
  <cellStyles count="4">
    <cellStyle name="Comma" xfId="3" builtinId="3"/>
    <cellStyle name="Normal" xfId="0" builtinId="0"/>
    <cellStyle name="Percent" xfId="1" builtinId="5"/>
    <cellStyle name="Title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EE322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B7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34A7C"/>
      <rgbColor rgb="FF002F6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009B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2</xdr:row>
      <xdr:rowOff>84310</xdr:rowOff>
    </xdr:from>
    <xdr:to>
      <xdr:col>9</xdr:col>
      <xdr:colOff>257175</xdr:colOff>
      <xdr:row>8</xdr:row>
      <xdr:rowOff>318491</xdr:rowOff>
    </xdr:to>
    <xdr:pic>
      <xdr:nvPicPr>
        <xdr:cNvPr id="4" name="Picture 3" descr="Jersey Mike's Subs - MyMike's™">
          <a:extLst>
            <a:ext uri="{FF2B5EF4-FFF2-40B4-BE49-F238E27FC236}">
              <a16:creationId xmlns:a16="http://schemas.microsoft.com/office/drawing/2014/main" id="{5CFF6C05-8C50-61EA-0333-7FDF5337D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474835"/>
          <a:ext cx="1895475" cy="137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63D5AA-8D08-4186-BB51-DDB4043C11A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50cb970-d212-4a0f-8e37-303e409a523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Normal="100" workbookViewId="0">
      <selection activeCell="L10" sqref="L10"/>
    </sheetView>
  </sheetViews>
  <sheetFormatPr defaultColWidth="9.140625" defaultRowHeight="15" x14ac:dyDescent="0.25"/>
  <cols>
    <col min="1" max="1" width="2" style="1" customWidth="1"/>
    <col min="2" max="2" width="48.42578125" style="2" customWidth="1"/>
    <col min="3" max="16384" width="9.140625" style="2"/>
  </cols>
  <sheetData>
    <row r="1" spans="1:12" ht="15.7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1"/>
      <c r="L1" s="1"/>
    </row>
    <row r="2" spans="1:12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 customHeight="1" x14ac:dyDescent="0.25">
      <c r="B5" s="1"/>
      <c r="C5" s="1"/>
      <c r="D5" s="1"/>
      <c r="E5" s="1"/>
      <c r="F5" s="1"/>
      <c r="G5" s="4"/>
      <c r="H5" s="1"/>
      <c r="I5" s="1"/>
      <c r="J5" s="1"/>
      <c r="K5" s="1"/>
      <c r="L5" s="1"/>
    </row>
    <row r="6" spans="1:12" ht="15" customHeight="1" x14ac:dyDescent="0.25">
      <c r="B6" s="1"/>
      <c r="C6" s="1"/>
      <c r="D6" s="1"/>
      <c r="E6" s="1"/>
      <c r="F6" s="1"/>
      <c r="G6" s="4"/>
      <c r="H6" s="1"/>
      <c r="I6" s="1"/>
      <c r="J6" s="1"/>
      <c r="K6" s="1"/>
      <c r="L6" s="1"/>
    </row>
    <row r="7" spans="1:12" ht="15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5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45" customHeight="1" x14ac:dyDescent="0.6">
      <c r="B9" s="5" t="s">
        <v>72</v>
      </c>
      <c r="C9" s="1"/>
      <c r="D9" s="1"/>
      <c r="E9" s="1"/>
      <c r="F9" s="1"/>
      <c r="G9" s="6"/>
      <c r="H9" s="1"/>
      <c r="I9" s="1"/>
      <c r="J9" s="1"/>
      <c r="K9" s="1"/>
      <c r="L9" s="1"/>
    </row>
    <row r="10" spans="1:12" ht="15" customHeight="1" x14ac:dyDescent="0.25">
      <c r="B10" s="7"/>
      <c r="C10" s="1"/>
      <c r="D10" s="1"/>
      <c r="E10" s="1"/>
      <c r="F10" s="1"/>
      <c r="G10" s="8"/>
      <c r="H10" s="1"/>
      <c r="I10" s="1"/>
      <c r="J10" s="1"/>
      <c r="K10" s="1"/>
      <c r="L10" s="1"/>
    </row>
    <row r="11" spans="1:12" ht="15" customHeight="1" x14ac:dyDescent="0.25">
      <c r="B11" s="1" t="s">
        <v>82</v>
      </c>
      <c r="C11" s="1"/>
      <c r="D11" s="1"/>
      <c r="E11" s="1"/>
      <c r="F11" s="1"/>
      <c r="G11" s="9"/>
      <c r="H11"/>
      <c r="I11" s="1"/>
      <c r="J11" s="1"/>
      <c r="K11" s="1"/>
      <c r="L11" s="1"/>
    </row>
    <row r="12" spans="1:12" ht="15" customHeight="1" x14ac:dyDescent="0.25">
      <c r="B12" s="1"/>
      <c r="C12" s="1"/>
      <c r="D12" s="1"/>
      <c r="E12" s="1"/>
      <c r="F12" s="1"/>
      <c r="G12" s="8"/>
      <c r="H12" s="1"/>
      <c r="I12" s="1"/>
      <c r="J12" s="1"/>
      <c r="K12" s="1"/>
      <c r="L12" s="1"/>
    </row>
    <row r="13" spans="1:12" ht="15" customHeight="1" x14ac:dyDescent="0.25">
      <c r="B13" s="10">
        <f ca="1">TODAY()</f>
        <v>46209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" customHeight="1" x14ac:dyDescent="0.25">
      <c r="B15" s="11" t="s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5" customHeight="1" x14ac:dyDescent="0.25">
      <c r="B16" s="12"/>
      <c r="C16" s="12"/>
      <c r="D16" s="12"/>
      <c r="E16" s="12"/>
      <c r="F16" s="12"/>
      <c r="G16" s="12"/>
      <c r="H16" s="1"/>
      <c r="I16" s="1"/>
      <c r="J16" s="1"/>
      <c r="K16" s="1"/>
      <c r="L16" s="1"/>
    </row>
    <row r="17" spans="1:12" ht="15" customHeight="1" x14ac:dyDescent="0.25">
      <c r="B17" s="13"/>
      <c r="C17" s="14"/>
      <c r="D17" s="14"/>
      <c r="E17" s="12"/>
      <c r="F17" s="13"/>
      <c r="G17" s="12"/>
      <c r="H17" s="1"/>
      <c r="I17" s="1"/>
      <c r="J17" s="1"/>
      <c r="K17" s="1"/>
      <c r="L17" s="1"/>
    </row>
    <row r="18" spans="1:12" ht="15" customHeight="1" x14ac:dyDescent="0.25">
      <c r="B18" s="15" t="s">
        <v>1</v>
      </c>
      <c r="C18" s="16"/>
      <c r="D18" s="17"/>
      <c r="E18" s="14"/>
      <c r="F18" s="18"/>
      <c r="G18" s="18"/>
      <c r="H18" s="18"/>
      <c r="I18" s="18"/>
      <c r="J18" s="18"/>
      <c r="K18" s="1"/>
      <c r="L18" s="1"/>
    </row>
    <row r="19" spans="1:12" ht="6" customHeight="1" x14ac:dyDescent="0.25">
      <c r="B19" s="19"/>
      <c r="C19" s="20"/>
      <c r="D19" s="21"/>
      <c r="E19" s="18"/>
      <c r="F19" s="22"/>
      <c r="G19" s="22"/>
      <c r="H19" s="22"/>
      <c r="I19" s="22"/>
      <c r="J19" s="23"/>
      <c r="K19" s="1"/>
      <c r="L19" s="1"/>
    </row>
    <row r="20" spans="1:12" ht="15" customHeight="1" x14ac:dyDescent="0.25">
      <c r="B20" s="24" t="s">
        <v>2</v>
      </c>
      <c r="C20" s="25" t="s">
        <v>3</v>
      </c>
      <c r="D20" s="26" t="s">
        <v>4</v>
      </c>
      <c r="E20" s="1"/>
      <c r="F20" s="27"/>
      <c r="G20" s="27"/>
      <c r="H20" s="27"/>
      <c r="I20" s="27"/>
      <c r="J20" s="25"/>
      <c r="K20" s="107"/>
      <c r="L20" s="1"/>
    </row>
    <row r="21" spans="1:12" ht="15" customHeight="1" x14ac:dyDescent="0.25">
      <c r="B21" s="28" t="s">
        <v>5</v>
      </c>
      <c r="C21" s="29">
        <f>'LBO Exit'!G23</f>
        <v>1.9994056626312287</v>
      </c>
      <c r="D21" s="30">
        <f>'LBO Exit'!H23</f>
        <v>0.50166718363761897</v>
      </c>
      <c r="E21" s="1"/>
      <c r="F21" s="31"/>
      <c r="G21" s="31"/>
      <c r="H21" s="31"/>
      <c r="I21" s="31"/>
      <c r="J21" s="32"/>
      <c r="K21" s="1"/>
      <c r="L21" s="1"/>
    </row>
    <row r="22" spans="1:12" ht="15" customHeight="1" x14ac:dyDescent="0.25">
      <c r="B22" s="24" t="s">
        <v>6</v>
      </c>
      <c r="C22" s="33">
        <f>'LBO Exit'!G20</f>
        <v>1.7894943069744067</v>
      </c>
      <c r="D22" s="34">
        <f>'LBO Exit'!H20</f>
        <v>0.40703979134559631</v>
      </c>
      <c r="E22" s="1"/>
      <c r="F22" s="31"/>
      <c r="G22" s="31"/>
      <c r="H22" s="27"/>
      <c r="I22" s="27"/>
      <c r="J22" s="32"/>
      <c r="K22" s="1"/>
      <c r="L22" s="1"/>
    </row>
    <row r="23" spans="1:12" ht="15" customHeight="1" x14ac:dyDescent="0.25">
      <c r="B23" s="28" t="s">
        <v>7</v>
      </c>
      <c r="C23" s="29">
        <f>'LBO Exit'!G17</f>
        <v>1.579582951317585</v>
      </c>
      <c r="D23" s="30">
        <f>'LBO Exit'!H17</f>
        <v>0.30769969820976262</v>
      </c>
      <c r="E23" s="1"/>
      <c r="F23" s="31"/>
      <c r="G23" s="31"/>
      <c r="H23" s="31"/>
      <c r="I23" s="31"/>
      <c r="J23" s="32"/>
      <c r="K23" s="1"/>
      <c r="L23" s="1"/>
    </row>
    <row r="24" spans="1:12" ht="15" customHeight="1" x14ac:dyDescent="0.25">
      <c r="B24" s="35"/>
      <c r="C24" s="36"/>
      <c r="D24" s="37"/>
      <c r="E24" s="1"/>
      <c r="F24" s="1"/>
      <c r="G24" s="1"/>
      <c r="H24" s="1"/>
      <c r="I24" s="1"/>
      <c r="J24" s="1"/>
      <c r="K24" s="1"/>
      <c r="L24" s="1"/>
    </row>
    <row r="25" spans="1:12" ht="15" customHeight="1" x14ac:dyDescent="0.25">
      <c r="B25" s="38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" customHeight="1" x14ac:dyDescent="0.25">
      <c r="B26" s="38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" customHeight="1" x14ac:dyDescent="0.25">
      <c r="B27" s="38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" customHeight="1" x14ac:dyDescent="0.25">
      <c r="B28" s="38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1"/>
      <c r="L29" s="1"/>
    </row>
    <row r="30" spans="1:12" ht="15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</sheetData>
  <pageMargins left="0.7" right="0.7" top="0.75" bottom="0.75" header="0.511811023622047" footer="0.511811023622047"/>
  <pageSetup paperSize="9" orientation="landscape" horizontalDpi="300" verticalDpi="300" r:id="rId1"/>
  <headerFooter>
    <oddFooter>&amp;LTyler Spencer&amp;CNot associated with Jersey Mike's Subs. For educational purposes only.&amp;R&amp;P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8"/>
  <sheetViews>
    <sheetView tabSelected="1" topLeftCell="A12" zoomScaleNormal="100" workbookViewId="0">
      <selection activeCell="L10" sqref="L10"/>
    </sheetView>
  </sheetViews>
  <sheetFormatPr defaultColWidth="9.140625" defaultRowHeight="15" x14ac:dyDescent="0.25"/>
  <cols>
    <col min="1" max="1" width="2.7109375" style="1" customWidth="1"/>
    <col min="2" max="2" width="46.140625" style="2" customWidth="1"/>
    <col min="3" max="4" width="14.42578125" style="2" customWidth="1"/>
    <col min="5" max="5" width="16" style="2" customWidth="1"/>
    <col min="6" max="7" width="17.7109375" style="2" customWidth="1"/>
    <col min="8" max="9" width="14.42578125" style="2" customWidth="1"/>
    <col min="10" max="10" width="14.28515625" style="2" customWidth="1"/>
    <col min="11" max="16384" width="9.140625" style="2"/>
  </cols>
  <sheetData>
    <row r="1" spans="1:9" ht="15" customHeight="1" x14ac:dyDescent="0.25">
      <c r="A1" s="39"/>
      <c r="B1" s="39"/>
      <c r="C1" s="39"/>
      <c r="D1" s="39"/>
      <c r="E1" s="39"/>
      <c r="H1" s="39"/>
      <c r="I1" s="39"/>
    </row>
    <row r="2" spans="1:9" ht="23.25" customHeight="1" x14ac:dyDescent="0.35">
      <c r="B2" s="97" t="str">
        <f>Cover!B9</f>
        <v>Jersey Mike's Subs</v>
      </c>
      <c r="C2" s="97"/>
      <c r="D2" s="97"/>
      <c r="E2" s="97"/>
      <c r="F2" s="97"/>
      <c r="G2" s="97"/>
      <c r="H2" s="1"/>
      <c r="I2" s="1"/>
    </row>
    <row r="3" spans="1:9" ht="18.75" customHeight="1" x14ac:dyDescent="0.25">
      <c r="B3" s="98" t="s">
        <v>71</v>
      </c>
      <c r="C3" s="98"/>
      <c r="D3" s="98"/>
      <c r="E3" s="98"/>
      <c r="F3" s="98"/>
      <c r="G3" s="98"/>
      <c r="H3" s="1"/>
      <c r="I3" s="1"/>
    </row>
    <row r="4" spans="1:9" ht="15" customHeight="1" x14ac:dyDescent="0.25">
      <c r="A4" s="39"/>
      <c r="B4" s="42" t="s">
        <v>8</v>
      </c>
      <c r="C4" s="39"/>
      <c r="D4" s="39"/>
      <c r="E4" s="39"/>
      <c r="F4" s="39"/>
      <c r="G4" s="39"/>
      <c r="H4" s="39"/>
      <c r="I4" s="39"/>
    </row>
    <row r="5" spans="1:9" ht="15" customHeight="1" x14ac:dyDescent="0.25">
      <c r="A5" s="39"/>
      <c r="B5" s="43"/>
      <c r="C5" s="39"/>
      <c r="D5" s="39"/>
      <c r="E5" s="39"/>
      <c r="F5" s="39"/>
      <c r="G5" s="39"/>
      <c r="H5" s="39"/>
      <c r="I5" s="39"/>
    </row>
    <row r="6" spans="1:9" ht="15" customHeight="1" x14ac:dyDescent="0.25">
      <c r="A6" s="39"/>
      <c r="B6" s="44" t="s">
        <v>9</v>
      </c>
      <c r="C6" s="45"/>
      <c r="D6" s="45"/>
      <c r="E6" s="46"/>
      <c r="F6" s="39"/>
      <c r="G6" s="39"/>
      <c r="H6" s="39"/>
      <c r="I6" s="39"/>
    </row>
    <row r="7" spans="1:9" ht="6" customHeight="1" x14ac:dyDescent="0.25">
      <c r="A7" s="39"/>
      <c r="B7" s="47"/>
      <c r="C7" s="48"/>
      <c r="D7" s="48"/>
      <c r="E7" s="49"/>
      <c r="F7" s="39"/>
      <c r="G7" s="39"/>
      <c r="H7" s="39"/>
      <c r="I7" s="39"/>
    </row>
    <row r="8" spans="1:9" ht="15" customHeight="1" x14ac:dyDescent="0.25">
      <c r="A8" s="39"/>
      <c r="B8" s="28" t="s">
        <v>10</v>
      </c>
      <c r="C8" s="39"/>
      <c r="D8" s="39"/>
      <c r="E8" s="50">
        <v>8000</v>
      </c>
      <c r="F8" s="39"/>
      <c r="G8" s="39"/>
      <c r="H8" s="39"/>
      <c r="I8" s="39"/>
    </row>
    <row r="9" spans="1:9" ht="15" customHeight="1" x14ac:dyDescent="0.25">
      <c r="A9" s="39"/>
      <c r="B9" s="28" t="s">
        <v>75</v>
      </c>
      <c r="C9" s="39"/>
      <c r="D9" s="39"/>
      <c r="E9" s="50">
        <v>263</v>
      </c>
      <c r="F9" s="39"/>
      <c r="G9" s="39"/>
      <c r="H9" s="39"/>
      <c r="I9" s="39"/>
    </row>
    <row r="10" spans="1:9" ht="15" customHeight="1" x14ac:dyDescent="0.25">
      <c r="A10" s="39"/>
      <c r="B10" s="28" t="s">
        <v>11</v>
      </c>
      <c r="C10" s="39"/>
      <c r="D10" s="39"/>
      <c r="E10" s="51">
        <v>45673</v>
      </c>
      <c r="F10" s="39"/>
      <c r="G10" s="39"/>
      <c r="H10" s="39"/>
      <c r="I10" s="39"/>
    </row>
    <row r="11" spans="1:9" ht="15" customHeight="1" x14ac:dyDescent="0.25">
      <c r="A11" s="39"/>
      <c r="B11" s="28" t="s">
        <v>12</v>
      </c>
      <c r="C11" s="39"/>
      <c r="D11" s="39"/>
      <c r="E11" s="50">
        <v>1750</v>
      </c>
      <c r="F11" s="39"/>
      <c r="G11" s="39"/>
      <c r="H11" s="39"/>
      <c r="I11" s="39"/>
    </row>
    <row r="12" spans="1:9" ht="15" customHeight="1" x14ac:dyDescent="0.25">
      <c r="A12" s="39"/>
      <c r="B12" s="28" t="s">
        <v>81</v>
      </c>
      <c r="C12" s="39"/>
      <c r="D12" s="39"/>
      <c r="E12" s="115">
        <v>12000</v>
      </c>
      <c r="F12" s="39"/>
      <c r="G12" s="39"/>
      <c r="H12" s="39"/>
      <c r="I12" s="39"/>
    </row>
    <row r="13" spans="1:9" ht="15" customHeight="1" x14ac:dyDescent="0.25">
      <c r="A13" s="39"/>
      <c r="B13" s="28" t="s">
        <v>83</v>
      </c>
      <c r="C13" s="39"/>
      <c r="D13" s="39"/>
      <c r="E13" s="120">
        <v>31</v>
      </c>
      <c r="F13" s="39"/>
      <c r="G13" s="39"/>
      <c r="H13" s="39"/>
      <c r="I13" s="39"/>
    </row>
    <row r="14" spans="1:9" ht="15" customHeight="1" x14ac:dyDescent="0.25">
      <c r="A14" s="39"/>
      <c r="B14" s="28" t="s">
        <v>15</v>
      </c>
      <c r="C14" s="39"/>
      <c r="D14" s="39"/>
      <c r="E14" s="51">
        <v>46295</v>
      </c>
      <c r="F14" s="39"/>
      <c r="G14" s="39"/>
      <c r="H14" s="39"/>
      <c r="I14" s="39"/>
    </row>
    <row r="15" spans="1:9" ht="15" customHeight="1" x14ac:dyDescent="0.25">
      <c r="A15" s="39"/>
      <c r="B15" s="28" t="s">
        <v>79</v>
      </c>
      <c r="C15" s="39"/>
      <c r="D15" s="39"/>
      <c r="E15" s="115">
        <v>2100</v>
      </c>
      <c r="F15" s="39"/>
      <c r="G15" s="39"/>
      <c r="H15" s="39"/>
      <c r="I15" s="39"/>
    </row>
    <row r="16" spans="1:9" ht="15" customHeight="1" x14ac:dyDescent="0.25">
      <c r="A16" s="39"/>
      <c r="B16" s="28" t="s">
        <v>13</v>
      </c>
      <c r="C16" s="39"/>
      <c r="D16" s="39"/>
      <c r="E16" s="52">
        <v>0.1</v>
      </c>
      <c r="F16" s="39"/>
      <c r="G16" s="39"/>
      <c r="H16" s="39"/>
      <c r="I16" s="39"/>
    </row>
    <row r="17" spans="1:10" ht="15" customHeight="1" x14ac:dyDescent="0.25">
      <c r="A17" s="39"/>
      <c r="B17" s="53" t="s">
        <v>14</v>
      </c>
      <c r="C17" s="54"/>
      <c r="D17" s="54"/>
      <c r="E17" s="118">
        <v>1.4999999999999999E-2</v>
      </c>
      <c r="F17" s="39"/>
      <c r="G17" s="39"/>
      <c r="H17" s="39"/>
      <c r="I17" s="39"/>
    </row>
    <row r="18" spans="1:10" ht="15" customHeight="1" x14ac:dyDescent="0.25">
      <c r="A18" s="86"/>
      <c r="B18" s="87"/>
      <c r="C18" s="86"/>
      <c r="D18" s="86"/>
      <c r="E18" s="86"/>
      <c r="F18" s="86"/>
      <c r="G18" s="86"/>
      <c r="H18" s="86"/>
      <c r="I18" s="86"/>
      <c r="J18" s="88"/>
    </row>
    <row r="19" spans="1:10" ht="15" customHeight="1" x14ac:dyDescent="0.25">
      <c r="A19" s="86"/>
      <c r="B19" s="89" t="s">
        <v>17</v>
      </c>
      <c r="C19" s="86"/>
      <c r="D19" s="86"/>
      <c r="E19" s="86"/>
      <c r="F19" s="86"/>
      <c r="G19" s="86"/>
      <c r="H19" s="86"/>
      <c r="I19" s="86"/>
      <c r="J19" s="88"/>
    </row>
    <row r="20" spans="1:10" ht="15" customHeight="1" x14ac:dyDescent="0.25">
      <c r="A20" s="86"/>
      <c r="B20" s="89"/>
      <c r="C20" s="86"/>
      <c r="D20" s="86"/>
      <c r="E20" s="90" t="s">
        <v>69</v>
      </c>
      <c r="F20" s="90" t="s">
        <v>68</v>
      </c>
      <c r="G20" s="90" t="s">
        <v>18</v>
      </c>
      <c r="H20" s="86"/>
      <c r="I20" s="88"/>
    </row>
    <row r="21" spans="1:10" ht="15" customHeight="1" x14ac:dyDescent="0.25">
      <c r="A21" s="86"/>
      <c r="B21" s="89"/>
      <c r="C21" s="86"/>
      <c r="D21" s="86"/>
      <c r="E21" s="86"/>
      <c r="F21" s="86"/>
      <c r="G21" s="86"/>
      <c r="H21" s="86"/>
      <c r="I21" s="88"/>
    </row>
    <row r="22" spans="1:10" ht="15" customHeight="1" x14ac:dyDescent="0.25">
      <c r="A22" s="86"/>
      <c r="B22" s="89" t="s">
        <v>19</v>
      </c>
      <c r="C22" s="86"/>
      <c r="D22" s="86"/>
      <c r="E22" s="108">
        <v>653</v>
      </c>
      <c r="F22" s="108">
        <f>696+28</f>
        <v>724</v>
      </c>
      <c r="G22" s="108">
        <v>185</v>
      </c>
      <c r="H22" s="86"/>
      <c r="I22" s="88"/>
    </row>
    <row r="23" spans="1:10" ht="15" customHeight="1" x14ac:dyDescent="0.25">
      <c r="A23" s="86"/>
      <c r="B23" s="91" t="s">
        <v>20</v>
      </c>
      <c r="C23" s="86"/>
      <c r="D23" s="86"/>
      <c r="E23" s="108">
        <v>-349</v>
      </c>
      <c r="F23" s="108">
        <f>-(214+19)</f>
        <v>-233</v>
      </c>
      <c r="G23" s="108">
        <v>-78</v>
      </c>
      <c r="H23" s="86"/>
      <c r="I23" s="88"/>
    </row>
    <row r="24" spans="1:10" ht="15" customHeight="1" x14ac:dyDescent="0.25">
      <c r="A24" s="86"/>
      <c r="B24" s="91" t="s">
        <v>21</v>
      </c>
      <c r="C24" s="86"/>
      <c r="D24" s="86"/>
      <c r="E24" s="108">
        <v>-220</v>
      </c>
      <c r="F24" s="108">
        <f>-(207+8)</f>
        <v>-215</v>
      </c>
      <c r="G24" s="108">
        <v>-61</v>
      </c>
      <c r="H24" s="86"/>
      <c r="I24" s="88"/>
    </row>
    <row r="25" spans="1:10" ht="15" customHeight="1" x14ac:dyDescent="0.25">
      <c r="A25" s="86"/>
      <c r="B25" s="91" t="s">
        <v>22</v>
      </c>
      <c r="C25" s="86"/>
      <c r="D25" s="86"/>
      <c r="E25" s="108">
        <v>-10</v>
      </c>
      <c r="F25" s="108">
        <f>-(96+0)</f>
        <v>-96</v>
      </c>
      <c r="G25" s="108">
        <v>-26</v>
      </c>
      <c r="H25" s="86"/>
      <c r="I25" s="88"/>
    </row>
    <row r="26" spans="1:10" ht="15" customHeight="1" x14ac:dyDescent="0.25">
      <c r="A26" s="86"/>
      <c r="B26" s="91" t="s">
        <v>23</v>
      </c>
      <c r="C26" s="86"/>
      <c r="D26" s="86"/>
      <c r="E26" s="109">
        <v>-30</v>
      </c>
      <c r="F26" s="109">
        <f>-(28+1)</f>
        <v>-29</v>
      </c>
      <c r="G26" s="109">
        <v>-8</v>
      </c>
      <c r="H26" s="86"/>
      <c r="I26" s="88"/>
    </row>
    <row r="27" spans="1:10" ht="15" customHeight="1" x14ac:dyDescent="0.25">
      <c r="A27" s="86"/>
      <c r="B27" s="92" t="s">
        <v>24</v>
      </c>
      <c r="C27" s="86"/>
      <c r="D27" s="86"/>
      <c r="E27" s="110">
        <f>SUM(E22:E26)</f>
        <v>44</v>
      </c>
      <c r="F27" s="110">
        <f>SUM(F22:F26)</f>
        <v>151</v>
      </c>
      <c r="G27" s="110">
        <f>SUM(G22:G26)</f>
        <v>12</v>
      </c>
      <c r="H27" s="86"/>
      <c r="I27" s="88"/>
    </row>
    <row r="28" spans="1:10" ht="15" customHeight="1" x14ac:dyDescent="0.25">
      <c r="A28" s="86"/>
      <c r="B28" s="92"/>
      <c r="C28" s="86"/>
      <c r="D28" s="86"/>
      <c r="E28" s="111"/>
      <c r="F28" s="111"/>
      <c r="G28" s="111"/>
      <c r="H28" s="86"/>
      <c r="I28" s="88"/>
    </row>
    <row r="29" spans="1:10" ht="15" customHeight="1" x14ac:dyDescent="0.25">
      <c r="A29" s="86"/>
      <c r="B29" s="91" t="s">
        <v>25</v>
      </c>
      <c r="C29" s="86"/>
      <c r="D29" s="86"/>
      <c r="E29" s="109">
        <v>-38</v>
      </c>
      <c r="F29" s="109">
        <f>(9-99)+(1-5)</f>
        <v>-94</v>
      </c>
      <c r="G29" s="109">
        <f>1-30</f>
        <v>-29</v>
      </c>
      <c r="H29" s="86"/>
      <c r="I29" s="88"/>
    </row>
    <row r="30" spans="1:10" ht="15" customHeight="1" x14ac:dyDescent="0.25">
      <c r="A30" s="86"/>
      <c r="B30" s="91" t="s">
        <v>26</v>
      </c>
      <c r="C30" s="86"/>
      <c r="D30" s="86"/>
      <c r="E30" s="108">
        <f>E27+E29</f>
        <v>6</v>
      </c>
      <c r="F30" s="108">
        <f>F27+F29</f>
        <v>57</v>
      </c>
      <c r="G30" s="108">
        <f>G27+G29-7</f>
        <v>-24</v>
      </c>
      <c r="H30" s="86"/>
      <c r="I30" s="88"/>
    </row>
    <row r="31" spans="1:10" ht="15" customHeight="1" x14ac:dyDescent="0.25">
      <c r="A31" s="86"/>
      <c r="B31" s="91"/>
      <c r="C31" s="86"/>
      <c r="D31" s="86"/>
      <c r="E31" s="111"/>
      <c r="F31" s="111"/>
      <c r="G31" s="111"/>
      <c r="H31" s="86"/>
      <c r="I31" s="88"/>
    </row>
    <row r="32" spans="1:10" ht="15" customHeight="1" x14ac:dyDescent="0.25">
      <c r="A32" s="86"/>
      <c r="B32" s="91" t="s">
        <v>78</v>
      </c>
      <c r="C32" s="86"/>
      <c r="D32" s="86"/>
      <c r="E32" s="111">
        <v>0</v>
      </c>
      <c r="F32" s="111">
        <v>-1</v>
      </c>
      <c r="G32" s="111">
        <v>0</v>
      </c>
      <c r="H32" s="86"/>
      <c r="I32" s="88"/>
    </row>
    <row r="33" spans="1:10" ht="15" customHeight="1" x14ac:dyDescent="0.25">
      <c r="A33" s="86"/>
      <c r="B33" s="91" t="s">
        <v>27</v>
      </c>
      <c r="C33" s="86"/>
      <c r="D33" s="86"/>
      <c r="E33" s="109">
        <v>-1</v>
      </c>
      <c r="F33" s="109">
        <v>-1</v>
      </c>
      <c r="G33" s="109">
        <v>0</v>
      </c>
      <c r="H33" s="86"/>
      <c r="I33" s="88"/>
    </row>
    <row r="34" spans="1:10" ht="15" customHeight="1" x14ac:dyDescent="0.25">
      <c r="A34" s="86"/>
      <c r="B34" s="92" t="s">
        <v>28</v>
      </c>
      <c r="C34" s="86"/>
      <c r="D34" s="86"/>
      <c r="E34" s="110">
        <f>E30+E33</f>
        <v>5</v>
      </c>
      <c r="F34" s="110">
        <f>F30+F33+F32</f>
        <v>55</v>
      </c>
      <c r="G34" s="110">
        <f>G30+G33</f>
        <v>-24</v>
      </c>
      <c r="H34" s="86"/>
      <c r="I34" s="88"/>
    </row>
    <row r="35" spans="1:10" ht="15" customHeight="1" x14ac:dyDescent="0.25">
      <c r="A35" s="86"/>
      <c r="B35" s="89"/>
      <c r="C35" s="86"/>
      <c r="D35" s="86"/>
      <c r="E35" s="111"/>
      <c r="F35" s="111"/>
      <c r="G35" s="111"/>
      <c r="H35" s="86"/>
      <c r="I35" s="88"/>
    </row>
    <row r="36" spans="1:10" ht="15" customHeight="1" x14ac:dyDescent="0.25">
      <c r="A36" s="86"/>
      <c r="B36" s="91" t="s">
        <v>29</v>
      </c>
      <c r="C36" s="86"/>
      <c r="D36" s="86"/>
      <c r="E36" s="109">
        <f>E25</f>
        <v>-10</v>
      </c>
      <c r="F36" s="109">
        <f>F25</f>
        <v>-96</v>
      </c>
      <c r="G36" s="109">
        <f>G25</f>
        <v>-26</v>
      </c>
      <c r="H36" s="86"/>
      <c r="I36" s="88"/>
    </row>
    <row r="37" spans="1:10" ht="15" customHeight="1" x14ac:dyDescent="0.25">
      <c r="A37" s="86"/>
      <c r="B37" s="89" t="s">
        <v>30</v>
      </c>
      <c r="C37" s="86"/>
      <c r="D37" s="86"/>
      <c r="E37" s="110">
        <f>E27-E36</f>
        <v>54</v>
      </c>
      <c r="F37" s="110">
        <f>F27-F36</f>
        <v>247</v>
      </c>
      <c r="G37" s="110">
        <f>G27-G36</f>
        <v>38</v>
      </c>
      <c r="H37" s="86"/>
      <c r="I37" s="88"/>
    </row>
    <row r="38" spans="1:10" ht="15" customHeight="1" x14ac:dyDescent="0.25">
      <c r="A38" s="86"/>
      <c r="B38" s="89"/>
      <c r="C38" s="86"/>
      <c r="D38" s="86"/>
      <c r="E38" s="86"/>
      <c r="F38" s="86"/>
      <c r="G38" s="86"/>
      <c r="H38" s="86"/>
      <c r="I38" s="88"/>
    </row>
    <row r="39" spans="1:10" ht="15" customHeight="1" x14ac:dyDescent="0.25">
      <c r="A39" s="86"/>
      <c r="B39" s="113" t="s">
        <v>31</v>
      </c>
      <c r="C39" s="39"/>
      <c r="D39" s="39"/>
      <c r="E39" s="114">
        <v>0</v>
      </c>
      <c r="F39" s="114">
        <v>8</v>
      </c>
      <c r="G39" s="114">
        <v>3</v>
      </c>
      <c r="H39" s="88"/>
      <c r="I39" s="88"/>
    </row>
    <row r="40" spans="1:10" ht="15" customHeight="1" x14ac:dyDescent="0.25">
      <c r="A40" s="86"/>
      <c r="B40" s="113" t="s">
        <v>32</v>
      </c>
      <c r="C40" s="39"/>
      <c r="D40" s="39"/>
      <c r="E40" s="114">
        <v>7</v>
      </c>
      <c r="F40" s="114">
        <v>1</v>
      </c>
      <c r="G40" s="114">
        <v>0</v>
      </c>
      <c r="H40" s="88"/>
      <c r="I40" s="88"/>
    </row>
    <row r="41" spans="1:10" ht="15" customHeight="1" x14ac:dyDescent="0.25">
      <c r="A41" s="86"/>
      <c r="B41" s="113" t="s">
        <v>33</v>
      </c>
      <c r="E41" s="114">
        <v>0</v>
      </c>
      <c r="F41" s="114">
        <v>7</v>
      </c>
      <c r="G41" s="114">
        <v>6</v>
      </c>
      <c r="H41" s="88"/>
      <c r="I41" s="88"/>
    </row>
    <row r="42" spans="1:10" ht="15" customHeight="1" x14ac:dyDescent="0.25">
      <c r="A42" s="86"/>
      <c r="B42" s="113" t="s">
        <v>34</v>
      </c>
      <c r="E42" s="114">
        <f>E45-E37-SUM(E39:E41)-SUM(E43:E44)</f>
        <v>198</v>
      </c>
      <c r="F42" s="114">
        <f>F45-F37-SUM(F39:F41)-SUM(F43:F44)</f>
        <v>25</v>
      </c>
      <c r="G42" s="114">
        <v>0</v>
      </c>
      <c r="H42" s="88"/>
      <c r="I42" s="88"/>
    </row>
    <row r="43" spans="1:10" ht="15" customHeight="1" x14ac:dyDescent="0.25">
      <c r="A43" s="86"/>
      <c r="B43" s="113" t="s">
        <v>35</v>
      </c>
      <c r="E43" s="114">
        <v>2</v>
      </c>
      <c r="F43" s="114">
        <v>42</v>
      </c>
      <c r="G43" s="114">
        <v>32</v>
      </c>
      <c r="H43" s="88"/>
      <c r="I43" s="88"/>
    </row>
    <row r="44" spans="1:10" ht="15" customHeight="1" x14ac:dyDescent="0.25">
      <c r="A44" s="86"/>
      <c r="B44" s="113" t="s">
        <v>36</v>
      </c>
      <c r="E44" s="114">
        <v>2</v>
      </c>
      <c r="F44" s="114">
        <v>9</v>
      </c>
      <c r="G44" s="114">
        <v>5</v>
      </c>
      <c r="H44" s="88"/>
      <c r="I44" s="88"/>
    </row>
    <row r="45" spans="1:10" ht="15" customHeight="1" x14ac:dyDescent="0.25">
      <c r="A45" s="86"/>
      <c r="B45" s="94" t="s">
        <v>37</v>
      </c>
      <c r="C45" s="86"/>
      <c r="D45" s="86"/>
      <c r="E45" s="99">
        <v>263</v>
      </c>
      <c r="F45" s="99">
        <v>339</v>
      </c>
      <c r="G45" s="93">
        <f>G37+SUM(G39:G44)</f>
        <v>84</v>
      </c>
      <c r="H45" s="121"/>
      <c r="I45" s="88"/>
    </row>
    <row r="46" spans="1:10" ht="15" customHeight="1" x14ac:dyDescent="0.25">
      <c r="A46" s="86"/>
      <c r="B46" s="89"/>
      <c r="C46" s="86"/>
      <c r="D46" s="86"/>
      <c r="E46" s="95">
        <f>E45/E22</f>
        <v>0.40275650842266464</v>
      </c>
      <c r="F46" s="95">
        <f>F45/F22</f>
        <v>0.46823204419889503</v>
      </c>
      <c r="G46" s="95">
        <f>G45/G22</f>
        <v>0.45405405405405408</v>
      </c>
      <c r="H46" s="86"/>
      <c r="I46" s="88"/>
    </row>
    <row r="47" spans="1:10" ht="15" customHeight="1" x14ac:dyDescent="0.25">
      <c r="A47" s="86"/>
      <c r="B47" s="89"/>
      <c r="C47" s="86"/>
      <c r="D47" s="86"/>
      <c r="E47" s="86"/>
      <c r="F47" s="95"/>
      <c r="G47" s="95"/>
      <c r="H47" s="86"/>
      <c r="I47" s="86"/>
      <c r="J47" s="88"/>
    </row>
    <row r="48" spans="1:10" ht="15" customHeight="1" x14ac:dyDescent="0.25">
      <c r="A48" s="86"/>
      <c r="B48" s="96" t="s">
        <v>38</v>
      </c>
      <c r="C48" s="88"/>
      <c r="D48" s="88"/>
      <c r="E48" s="88"/>
      <c r="F48" s="88"/>
      <c r="G48" s="88"/>
      <c r="H48" s="88"/>
      <c r="I48" s="88"/>
      <c r="J48" s="88"/>
    </row>
    <row r="49" spans="1:10" ht="15" customHeight="1" x14ac:dyDescent="0.25">
      <c r="A49" s="86"/>
      <c r="B49" s="96" t="s">
        <v>66</v>
      </c>
      <c r="C49" s="88"/>
      <c r="D49" s="88"/>
      <c r="E49" s="88"/>
      <c r="F49" s="88"/>
      <c r="G49" s="88"/>
      <c r="H49" s="88"/>
      <c r="I49" s="88"/>
      <c r="J49" s="88"/>
    </row>
    <row r="50" spans="1:10" ht="15" customHeight="1" x14ac:dyDescent="0.25">
      <c r="A50" s="86"/>
      <c r="B50" s="96" t="s">
        <v>67</v>
      </c>
      <c r="C50" s="88"/>
      <c r="D50" s="88"/>
      <c r="E50" s="88"/>
      <c r="F50" s="88"/>
      <c r="G50" s="88"/>
      <c r="H50" s="88"/>
      <c r="I50" s="88"/>
      <c r="J50" s="88"/>
    </row>
    <row r="51" spans="1:10" ht="15" customHeight="1" x14ac:dyDescent="0.25">
      <c r="A51" s="86"/>
      <c r="B51" s="88"/>
      <c r="C51" s="88"/>
      <c r="D51" s="88"/>
      <c r="E51" s="88"/>
      <c r="F51" s="88"/>
      <c r="G51" s="88"/>
      <c r="H51" s="88"/>
      <c r="I51" s="88"/>
      <c r="J51" s="88"/>
    </row>
    <row r="52" spans="1:10" ht="15" customHeight="1" x14ac:dyDescent="0.25">
      <c r="A52" s="86"/>
      <c r="B52" s="88"/>
      <c r="C52" s="88"/>
      <c r="D52" s="88"/>
      <c r="E52" s="88"/>
      <c r="F52" s="88"/>
      <c r="G52" s="88"/>
      <c r="H52" s="88"/>
      <c r="I52" s="88"/>
      <c r="J52" s="88"/>
    </row>
    <row r="53" spans="1:10" ht="15" customHeight="1" x14ac:dyDescent="0.25">
      <c r="A53" s="86"/>
      <c r="B53" s="88"/>
      <c r="C53" s="88"/>
      <c r="D53" s="88"/>
      <c r="E53" s="88"/>
      <c r="F53" s="88"/>
      <c r="G53" s="88"/>
      <c r="H53" s="88"/>
      <c r="I53" s="88"/>
      <c r="J53" s="88"/>
    </row>
    <row r="54" spans="1:10" ht="15" customHeight="1" x14ac:dyDescent="0.25">
      <c r="A54" s="86"/>
      <c r="B54" s="88"/>
      <c r="C54" s="88"/>
      <c r="D54" s="88"/>
      <c r="E54" s="88"/>
      <c r="F54" s="88"/>
      <c r="G54" s="88"/>
      <c r="H54" s="88"/>
      <c r="I54" s="88"/>
      <c r="J54" s="88"/>
    </row>
    <row r="55" spans="1:10" ht="15" customHeight="1" x14ac:dyDescent="0.25">
      <c r="A55" s="39"/>
    </row>
    <row r="56" spans="1:10" ht="15" customHeight="1" x14ac:dyDescent="0.25">
      <c r="A56" s="39"/>
    </row>
    <row r="57" spans="1:10" ht="15" customHeight="1" x14ac:dyDescent="0.25">
      <c r="A57" s="39"/>
    </row>
    <row r="58" spans="1:10" ht="15" customHeight="1" x14ac:dyDescent="0.25">
      <c r="A58" s="39"/>
    </row>
    <row r="59" spans="1:10" ht="15" customHeight="1" x14ac:dyDescent="0.25">
      <c r="A59" s="39"/>
    </row>
    <row r="60" spans="1:10" ht="15" customHeight="1" x14ac:dyDescent="0.25">
      <c r="A60" s="39"/>
    </row>
    <row r="61" spans="1:10" ht="15" customHeight="1" x14ac:dyDescent="0.25">
      <c r="A61" s="39"/>
    </row>
    <row r="62" spans="1:10" ht="15" customHeight="1" x14ac:dyDescent="0.25">
      <c r="A62" s="39"/>
    </row>
    <row r="63" spans="1:10" ht="15" customHeight="1" x14ac:dyDescent="0.25">
      <c r="A63" s="39"/>
    </row>
    <row r="64" spans="1:10" ht="15" customHeight="1" x14ac:dyDescent="0.25">
      <c r="A64" s="39"/>
    </row>
    <row r="65" spans="1:9" ht="15" customHeight="1" x14ac:dyDescent="0.25">
      <c r="A65" s="39"/>
    </row>
    <row r="66" spans="1:9" ht="15" customHeight="1" x14ac:dyDescent="0.25">
      <c r="A66" s="39"/>
    </row>
    <row r="67" spans="1:9" ht="15" customHeight="1" x14ac:dyDescent="0.25">
      <c r="A67" s="39"/>
    </row>
    <row r="68" spans="1:9" ht="15" customHeight="1" x14ac:dyDescent="0.25">
      <c r="A68" s="39"/>
    </row>
    <row r="69" spans="1:9" ht="15" customHeight="1" x14ac:dyDescent="0.25">
      <c r="A69" s="39"/>
    </row>
    <row r="70" spans="1:9" ht="15" customHeight="1" x14ac:dyDescent="0.25">
      <c r="A70" s="39"/>
    </row>
    <row r="71" spans="1:9" ht="15" customHeight="1" x14ac:dyDescent="0.25">
      <c r="A71" s="39"/>
    </row>
    <row r="72" spans="1:9" ht="15" customHeight="1" x14ac:dyDescent="0.25">
      <c r="A72" s="39"/>
    </row>
    <row r="73" spans="1:9" ht="15" customHeight="1" x14ac:dyDescent="0.25">
      <c r="A73" s="39"/>
    </row>
    <row r="74" spans="1:9" ht="15" customHeight="1" x14ac:dyDescent="0.25">
      <c r="A74" s="39"/>
    </row>
    <row r="75" spans="1:9" ht="15" customHeight="1" x14ac:dyDescent="0.25">
      <c r="A75" s="39"/>
      <c r="B75" s="39"/>
      <c r="C75" s="39"/>
      <c r="D75" s="39"/>
      <c r="E75" s="39"/>
      <c r="F75" s="39"/>
      <c r="G75" s="39"/>
      <c r="H75" s="39"/>
      <c r="I75" s="39"/>
    </row>
    <row r="76" spans="1:9" ht="15" customHeight="1" x14ac:dyDescent="0.25">
      <c r="A76" s="39"/>
      <c r="B76" s="39"/>
      <c r="C76" s="39"/>
      <c r="D76" s="39"/>
      <c r="E76" s="39"/>
      <c r="F76" s="39"/>
      <c r="G76" s="39"/>
      <c r="H76" s="39"/>
      <c r="I76" s="39"/>
    </row>
    <row r="77" spans="1:9" ht="15" customHeight="1" x14ac:dyDescent="0.25">
      <c r="A77" s="39"/>
      <c r="B77" s="39"/>
      <c r="C77" s="39"/>
      <c r="D77" s="39"/>
      <c r="E77" s="39"/>
      <c r="F77" s="39"/>
      <c r="G77" s="39"/>
      <c r="H77" s="39"/>
      <c r="I77" s="39"/>
    </row>
    <row r="78" spans="1:9" ht="15" customHeight="1" x14ac:dyDescent="0.25">
      <c r="A78" s="39"/>
      <c r="B78" s="39"/>
      <c r="C78" s="39"/>
      <c r="D78" s="39"/>
      <c r="E78" s="39"/>
      <c r="F78" s="39"/>
      <c r="G78" s="39"/>
      <c r="H78" s="39"/>
      <c r="I78" s="39"/>
    </row>
    <row r="79" spans="1:9" ht="15" customHeight="1" x14ac:dyDescent="0.25">
      <c r="A79" s="39"/>
      <c r="B79" s="39"/>
      <c r="C79" s="39"/>
      <c r="D79" s="39"/>
      <c r="E79" s="39"/>
      <c r="F79" s="39"/>
      <c r="G79" s="39"/>
      <c r="H79" s="39"/>
      <c r="I79" s="39"/>
    </row>
    <row r="80" spans="1:9" ht="15" customHeight="1" x14ac:dyDescent="0.25">
      <c r="A80" s="39"/>
      <c r="B80" s="39"/>
      <c r="C80" s="39"/>
      <c r="D80" s="39"/>
      <c r="E80" s="39"/>
      <c r="F80" s="39"/>
      <c r="G80" s="39"/>
      <c r="H80" s="39"/>
      <c r="I80" s="39"/>
    </row>
    <row r="81" spans="1:9" ht="15" customHeight="1" x14ac:dyDescent="0.25">
      <c r="A81" s="39"/>
      <c r="B81" s="39"/>
      <c r="C81" s="39"/>
      <c r="D81" s="39"/>
      <c r="E81" s="39"/>
      <c r="F81" s="39"/>
      <c r="G81" s="39"/>
      <c r="H81" s="39"/>
      <c r="I81" s="39"/>
    </row>
    <row r="82" spans="1:9" ht="15" customHeight="1" x14ac:dyDescent="0.25">
      <c r="A82" s="39"/>
      <c r="B82" s="39"/>
      <c r="C82" s="39"/>
      <c r="D82" s="39"/>
      <c r="E82" s="39"/>
      <c r="F82" s="39"/>
      <c r="G82" s="39"/>
      <c r="H82" s="39"/>
      <c r="I82" s="39"/>
    </row>
    <row r="83" spans="1:9" ht="15" customHeight="1" x14ac:dyDescent="0.25">
      <c r="A83" s="39"/>
      <c r="B83" s="39"/>
      <c r="C83" s="39"/>
      <c r="D83" s="39"/>
      <c r="E83" s="39"/>
      <c r="F83" s="39"/>
      <c r="G83" s="39"/>
      <c r="H83" s="39"/>
      <c r="I83" s="39"/>
    </row>
    <row r="84" spans="1:9" ht="15" customHeight="1" x14ac:dyDescent="0.25">
      <c r="A84" s="39"/>
      <c r="B84" s="39"/>
      <c r="C84" s="39"/>
      <c r="D84" s="39"/>
      <c r="E84" s="39"/>
      <c r="F84" s="39"/>
      <c r="G84" s="39"/>
      <c r="H84" s="39"/>
      <c r="I84" s="39"/>
    </row>
    <row r="85" spans="1:9" ht="15" customHeight="1" x14ac:dyDescent="0.25">
      <c r="A85" s="39"/>
    </row>
    <row r="86" spans="1:9" ht="15" customHeight="1" x14ac:dyDescent="0.25">
      <c r="A86" s="39"/>
    </row>
    <row r="87" spans="1:9" ht="15" customHeight="1" x14ac:dyDescent="0.25">
      <c r="A87" s="39"/>
    </row>
    <row r="88" spans="1:9" ht="15" customHeight="1" x14ac:dyDescent="0.25">
      <c r="A88" s="39"/>
    </row>
    <row r="89" spans="1:9" ht="15" customHeight="1" x14ac:dyDescent="0.25">
      <c r="A89" s="39"/>
    </row>
    <row r="90" spans="1:9" ht="15" customHeight="1" x14ac:dyDescent="0.25">
      <c r="A90" s="39"/>
    </row>
    <row r="91" spans="1:9" ht="15" customHeight="1" x14ac:dyDescent="0.25">
      <c r="A91" s="39"/>
    </row>
    <row r="92" spans="1:9" ht="15" customHeight="1" x14ac:dyDescent="0.25">
      <c r="A92" s="39"/>
    </row>
    <row r="93" spans="1:9" ht="15" customHeight="1" x14ac:dyDescent="0.25">
      <c r="A93" s="39"/>
    </row>
    <row r="94" spans="1:9" ht="15" customHeight="1" x14ac:dyDescent="0.25">
      <c r="A94" s="39"/>
    </row>
    <row r="95" spans="1:9" ht="15" customHeight="1" x14ac:dyDescent="0.25">
      <c r="A95" s="39"/>
    </row>
    <row r="96" spans="1:9" ht="15" customHeight="1" x14ac:dyDescent="0.25">
      <c r="A96" s="39"/>
    </row>
    <row r="97" spans="1:1" ht="15" customHeight="1" x14ac:dyDescent="0.25">
      <c r="A97" s="39"/>
    </row>
    <row r="98" spans="1:1" ht="15" customHeight="1" x14ac:dyDescent="0.25">
      <c r="A98" s="39"/>
    </row>
  </sheetData>
  <printOptions horizontalCentered="1"/>
  <pageMargins left="0.7" right="0.7" top="0.75" bottom="0.75" header="0.511811023622047" footer="0.511811023622047"/>
  <pageSetup scale="94" fitToHeight="0" orientation="landscape" horizontalDpi="300" verticalDpi="300" r:id="rId1"/>
  <headerFooter>
    <oddFooter>&amp;LTyler Spencer&amp;CNot associated with Jersey Mike's Subs. For educational purposes only.&amp;R&amp;P</oddFooter>
  </headerFooter>
  <rowBreaks count="1" manualBreakCount="1">
    <brk id="34" max="6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8"/>
  <sheetViews>
    <sheetView tabSelected="1" zoomScaleNormal="100" workbookViewId="0">
      <selection activeCell="L10" sqref="L10"/>
    </sheetView>
  </sheetViews>
  <sheetFormatPr defaultColWidth="9.140625" defaultRowHeight="14.25" x14ac:dyDescent="0.2"/>
  <cols>
    <col min="1" max="1" width="2.7109375" style="1" customWidth="1"/>
    <col min="2" max="2" width="26.7109375" style="1" customWidth="1"/>
    <col min="3" max="3" width="12.28515625" style="1" bestFit="1" customWidth="1"/>
    <col min="4" max="4" width="11.42578125" style="1" bestFit="1" customWidth="1"/>
    <col min="5" max="5" width="17.140625" style="1" customWidth="1"/>
    <col min="6" max="6" width="17" style="1" bestFit="1" customWidth="1"/>
    <col min="7" max="7" width="13.5703125" style="1" bestFit="1" customWidth="1"/>
    <col min="8" max="8" width="8.42578125" style="1" customWidth="1"/>
    <col min="9" max="9" width="9.7109375" style="1" customWidth="1"/>
    <col min="10" max="10" width="14.140625" style="1" customWidth="1"/>
    <col min="11" max="13" width="13.85546875" style="1" customWidth="1"/>
    <col min="14" max="14" width="13.28515625" style="1" customWidth="1"/>
    <col min="15" max="16384" width="9.140625" style="1"/>
  </cols>
  <sheetData>
    <row r="1" spans="1:14" ht="14.25" customHeight="1" x14ac:dyDescent="0.2">
      <c r="A1" s="39"/>
      <c r="B1" s="39"/>
      <c r="C1" s="39"/>
      <c r="D1" s="39"/>
      <c r="E1" s="39"/>
      <c r="F1" s="39"/>
      <c r="G1" s="39"/>
      <c r="H1" s="55"/>
      <c r="I1" s="40"/>
      <c r="J1" s="41"/>
      <c r="K1" s="39"/>
      <c r="L1" s="39"/>
    </row>
    <row r="2" spans="1:14" ht="23.25" customHeight="1" x14ac:dyDescent="0.35">
      <c r="B2" s="97" t="str">
        <f>'Assumptions &amp; Financials'!B2</f>
        <v>Jersey Mike's Subs</v>
      </c>
      <c r="C2" s="97"/>
      <c r="D2" s="97"/>
      <c r="E2" s="97"/>
      <c r="F2" s="97"/>
      <c r="G2" s="97"/>
      <c r="H2" s="97"/>
      <c r="I2" s="97"/>
      <c r="J2" s="97"/>
    </row>
    <row r="3" spans="1:14" ht="18.75" customHeight="1" x14ac:dyDescent="0.25">
      <c r="B3" s="98" t="s">
        <v>74</v>
      </c>
      <c r="C3" s="98"/>
      <c r="D3" s="98"/>
      <c r="E3" s="98"/>
      <c r="F3" s="98"/>
      <c r="G3" s="98"/>
      <c r="H3" s="98"/>
      <c r="I3" s="98"/>
      <c r="J3" s="98"/>
    </row>
    <row r="4" spans="1:14" ht="14.25" customHeight="1" x14ac:dyDescent="0.2">
      <c r="A4" s="39"/>
      <c r="B4" s="42" t="s">
        <v>8</v>
      </c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4" ht="14.25" customHeight="1" x14ac:dyDescent="0.2">
      <c r="A5" s="39"/>
    </row>
    <row r="6" spans="1:14" ht="14.25" customHeight="1" x14ac:dyDescent="0.2">
      <c r="A6" s="39"/>
      <c r="B6" s="44" t="s">
        <v>39</v>
      </c>
      <c r="C6" s="45"/>
      <c r="D6" s="45"/>
      <c r="E6" s="46"/>
      <c r="F6" s="39"/>
      <c r="G6" s="39"/>
      <c r="H6" s="39"/>
      <c r="I6" s="39"/>
      <c r="J6" s="39"/>
      <c r="K6" s="39"/>
      <c r="L6" s="39"/>
      <c r="M6" s="39"/>
      <c r="N6" s="39"/>
    </row>
    <row r="7" spans="1:14" ht="6" customHeight="1" x14ac:dyDescent="0.2">
      <c r="A7" s="39"/>
      <c r="B7" s="47"/>
      <c r="C7" s="48"/>
      <c r="D7" s="48"/>
      <c r="E7" s="49"/>
      <c r="F7" s="39"/>
      <c r="G7" s="39"/>
      <c r="H7" s="39"/>
      <c r="I7" s="39"/>
      <c r="J7" s="39"/>
      <c r="K7" s="39"/>
      <c r="L7" s="39"/>
      <c r="M7" s="39"/>
      <c r="N7" s="39"/>
    </row>
    <row r="8" spans="1:14" ht="14.25" customHeight="1" x14ac:dyDescent="0.2">
      <c r="A8" s="39"/>
      <c r="B8" s="56" t="s">
        <v>40</v>
      </c>
      <c r="C8" s="39"/>
      <c r="D8" s="39"/>
      <c r="E8" s="57">
        <f>'Assumptions &amp; Financials'!E8</f>
        <v>8000</v>
      </c>
      <c r="G8" s="39"/>
      <c r="H8" s="39"/>
      <c r="J8" s="39"/>
      <c r="K8" s="39"/>
      <c r="L8" s="39"/>
      <c r="M8" s="39"/>
      <c r="N8" s="39"/>
    </row>
    <row r="9" spans="1:14" ht="14.25" customHeight="1" x14ac:dyDescent="0.2">
      <c r="A9" s="39"/>
      <c r="B9" s="56" t="s">
        <v>76</v>
      </c>
      <c r="C9" s="39"/>
      <c r="D9" s="39"/>
      <c r="E9" s="57">
        <f>-'Assumptions &amp; Financials'!E11</f>
        <v>-1750</v>
      </c>
      <c r="G9" s="39"/>
      <c r="H9" s="39"/>
      <c r="J9" s="39"/>
      <c r="K9" s="39"/>
      <c r="L9" s="39"/>
      <c r="M9" s="39"/>
      <c r="N9" s="39"/>
    </row>
    <row r="10" spans="1:14" ht="14.25" customHeight="1" x14ac:dyDescent="0.2">
      <c r="A10" s="39"/>
      <c r="B10" s="56" t="s">
        <v>41</v>
      </c>
      <c r="C10" s="39"/>
      <c r="D10" s="39"/>
      <c r="E10" s="58">
        <f>SUM(E8:E9)</f>
        <v>6250</v>
      </c>
      <c r="G10" s="39"/>
      <c r="H10" s="39"/>
      <c r="J10" s="39"/>
      <c r="K10" s="39"/>
      <c r="L10" s="39"/>
      <c r="M10" s="39"/>
      <c r="N10" s="39"/>
    </row>
    <row r="11" spans="1:14" ht="14.25" customHeight="1" x14ac:dyDescent="0.2">
      <c r="A11" s="39"/>
      <c r="B11" s="56"/>
      <c r="C11" s="39"/>
      <c r="D11" s="39"/>
      <c r="E11" s="59"/>
      <c r="G11" s="39"/>
      <c r="H11" s="39"/>
      <c r="J11" s="39"/>
      <c r="K11" s="39"/>
      <c r="L11" s="39"/>
      <c r="M11" s="39"/>
      <c r="N11" s="39"/>
    </row>
    <row r="12" spans="1:14" ht="14.25" customHeight="1" x14ac:dyDescent="0.2">
      <c r="A12" s="39"/>
      <c r="B12" s="56" t="s">
        <v>42</v>
      </c>
      <c r="C12" s="39"/>
      <c r="D12" s="39"/>
      <c r="E12" s="57">
        <f>'Assumptions &amp; Financials'!E9</f>
        <v>263</v>
      </c>
      <c r="G12" s="39"/>
      <c r="H12" s="39"/>
      <c r="J12" s="39"/>
      <c r="K12" s="39"/>
      <c r="L12" s="39"/>
      <c r="M12" s="39"/>
      <c r="N12" s="39"/>
    </row>
    <row r="13" spans="1:14" ht="14.25" customHeight="1" x14ac:dyDescent="0.2">
      <c r="A13" s="39"/>
      <c r="B13" s="60" t="s">
        <v>43</v>
      </c>
      <c r="C13" s="54"/>
      <c r="D13" s="54"/>
      <c r="E13" s="61">
        <f>E8/E12</f>
        <v>30.418250950570343</v>
      </c>
      <c r="G13" s="39"/>
      <c r="H13" s="39"/>
      <c r="J13" s="39"/>
      <c r="K13" s="39"/>
      <c r="L13" s="39"/>
      <c r="M13" s="39"/>
      <c r="N13" s="39"/>
    </row>
    <row r="14" spans="1:14" ht="14.25" customHeight="1" x14ac:dyDescent="0.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  <row r="15" spans="1:14" ht="14.25" customHeight="1" x14ac:dyDescent="0.2">
      <c r="A15" s="39"/>
      <c r="B15" s="27" t="s">
        <v>44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 ht="14.25" customHeight="1" x14ac:dyDescent="0.2">
      <c r="A16" s="39"/>
      <c r="B16" s="62" t="s">
        <v>45</v>
      </c>
      <c r="C16" s="63">
        <f>E10</f>
        <v>6250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1:14" ht="14.25" customHeight="1" x14ac:dyDescent="0.2">
      <c r="A17" s="39"/>
      <c r="B17" s="62" t="s">
        <v>46</v>
      </c>
      <c r="C17" s="63">
        <f>H24+H27</f>
        <v>104.99999595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8" spans="1:14" ht="14.25" customHeight="1" x14ac:dyDescent="0.2">
      <c r="A18" s="39"/>
      <c r="B18" s="27" t="s">
        <v>47</v>
      </c>
      <c r="C18" s="64">
        <f>SUM(C16:C17)</f>
        <v>6354.9999959500001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</row>
    <row r="19" spans="1:14" ht="14.25" customHeight="1" x14ac:dyDescent="0.2">
      <c r="A19" s="39"/>
      <c r="B19" s="39"/>
      <c r="C19" s="65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</row>
    <row r="20" spans="1:14" ht="14.25" customHeight="1" x14ac:dyDescent="0.2">
      <c r="A20" s="39"/>
      <c r="B20" s="27" t="s">
        <v>48</v>
      </c>
      <c r="C20" s="39"/>
      <c r="D20" s="39"/>
      <c r="E20" s="39"/>
      <c r="F20" s="27" t="s">
        <v>49</v>
      </c>
      <c r="G20" s="39"/>
      <c r="H20" s="39"/>
      <c r="I20" s="39"/>
      <c r="J20" s="39"/>
      <c r="K20" s="39"/>
      <c r="L20" s="39"/>
      <c r="M20" s="39"/>
      <c r="N20" s="39"/>
    </row>
    <row r="21" spans="1:14" ht="16.5" customHeight="1" x14ac:dyDescent="0.2">
      <c r="A21" s="39"/>
      <c r="B21" s="39"/>
      <c r="C21" s="103" t="s">
        <v>50</v>
      </c>
      <c r="D21" s="103" t="s">
        <v>51</v>
      </c>
      <c r="E21" s="39"/>
      <c r="F21" s="39"/>
      <c r="G21" s="66" t="s">
        <v>52</v>
      </c>
      <c r="H21" s="66" t="s">
        <v>53</v>
      </c>
      <c r="I21" s="66" t="s">
        <v>54</v>
      </c>
      <c r="J21" s="66" t="s">
        <v>70</v>
      </c>
      <c r="K21" s="39"/>
      <c r="L21" s="39"/>
      <c r="M21" s="39"/>
      <c r="N21" s="39"/>
    </row>
    <row r="22" spans="1:14" ht="14.25" customHeight="1" x14ac:dyDescent="0.2">
      <c r="A22" s="39"/>
      <c r="B22" s="62" t="s">
        <v>55</v>
      </c>
      <c r="C22" s="67">
        <f>D22/E12</f>
        <v>0</v>
      </c>
      <c r="D22" s="104">
        <v>0</v>
      </c>
      <c r="E22" s="39"/>
      <c r="F22" s="42" t="s">
        <v>56</v>
      </c>
      <c r="G22" s="39"/>
      <c r="H22" s="39"/>
      <c r="I22" s="39"/>
      <c r="J22" s="39"/>
      <c r="K22" s="39"/>
      <c r="L22" s="39"/>
      <c r="M22" s="39"/>
      <c r="N22" s="39"/>
    </row>
    <row r="23" spans="1:14" ht="14.25" customHeight="1" x14ac:dyDescent="0.2">
      <c r="A23" s="39"/>
      <c r="B23" s="62" t="s">
        <v>80</v>
      </c>
      <c r="C23" s="68">
        <v>2.8517100000000002</v>
      </c>
      <c r="D23" s="105">
        <f>C23*$E$12</f>
        <v>749.99973</v>
      </c>
      <c r="E23" s="39"/>
      <c r="F23" s="62" t="str">
        <f>B23</f>
        <v>New Debt</v>
      </c>
      <c r="G23" s="65">
        <v>1.4999999999999999E-2</v>
      </c>
      <c r="H23" s="63">
        <f>D23*G23</f>
        <v>11.249995949999999</v>
      </c>
      <c r="I23" s="69">
        <v>7</v>
      </c>
      <c r="J23" s="70">
        <f>IFERROR(G23*D23/I23, "NM")</f>
        <v>1.6071422785714284</v>
      </c>
      <c r="K23" s="39"/>
      <c r="L23" s="39"/>
      <c r="M23" s="39"/>
      <c r="N23" s="39"/>
    </row>
    <row r="24" spans="1:14" ht="14.25" customHeight="1" x14ac:dyDescent="0.2">
      <c r="A24" s="39"/>
      <c r="B24" s="62" t="s">
        <v>57</v>
      </c>
      <c r="C24" s="68">
        <v>2.38</v>
      </c>
      <c r="D24" s="105">
        <f>C24*$E$12</f>
        <v>625.93999999999994</v>
      </c>
      <c r="E24" s="39"/>
      <c r="F24" s="71" t="s">
        <v>56</v>
      </c>
      <c r="G24" s="39"/>
      <c r="H24" s="64">
        <f>SUM(H23:H23)</f>
        <v>11.249995949999999</v>
      </c>
      <c r="I24" s="72"/>
      <c r="J24" s="63">
        <f>SUM(J23:J23)</f>
        <v>1.6071422785714284</v>
      </c>
      <c r="K24" s="39"/>
      <c r="L24" s="39"/>
      <c r="M24" s="39"/>
      <c r="N24" s="39"/>
    </row>
    <row r="25" spans="1:14" ht="14.25" customHeight="1" x14ac:dyDescent="0.2">
      <c r="A25" s="39"/>
      <c r="B25" s="62" t="s">
        <v>58</v>
      </c>
      <c r="C25" s="73">
        <f>D25/E12</f>
        <v>18.931788083460077</v>
      </c>
      <c r="D25" s="105">
        <f>C18-SUM(D22:D24)</f>
        <v>4979.06026595</v>
      </c>
      <c r="E25" s="39"/>
      <c r="F25" s="39"/>
      <c r="G25" s="39"/>
      <c r="H25" s="74"/>
      <c r="I25" s="39"/>
      <c r="J25" s="39"/>
      <c r="K25" s="39"/>
      <c r="L25" s="39"/>
      <c r="M25" s="39"/>
      <c r="N25" s="39"/>
    </row>
    <row r="26" spans="1:14" ht="16.5" customHeight="1" x14ac:dyDescent="0.2">
      <c r="A26" s="39"/>
      <c r="B26" s="75" t="s">
        <v>59</v>
      </c>
      <c r="C26" s="76">
        <f>SUM(C22:C25)</f>
        <v>24.163498083460077</v>
      </c>
      <c r="D26" s="106">
        <f>SUM(D22:D25)</f>
        <v>6354.9999959500001</v>
      </c>
      <c r="E26" s="39"/>
      <c r="F26" s="77"/>
      <c r="G26" s="66" t="s">
        <v>60</v>
      </c>
      <c r="H26" s="66" t="s">
        <v>53</v>
      </c>
      <c r="I26" s="39"/>
      <c r="J26" s="39"/>
      <c r="K26" s="39"/>
      <c r="L26" s="39"/>
      <c r="M26" s="39"/>
      <c r="N26" s="39"/>
    </row>
    <row r="27" spans="1:14" ht="14.25" customHeight="1" x14ac:dyDescent="0.2">
      <c r="A27" s="39"/>
      <c r="B27" s="77"/>
      <c r="C27" s="68"/>
      <c r="D27" s="78"/>
      <c r="E27" s="39"/>
      <c r="F27" s="71" t="s">
        <v>61</v>
      </c>
      <c r="G27" s="65">
        <v>1.4999999999999999E-2</v>
      </c>
      <c r="H27" s="64">
        <f>G27*E10</f>
        <v>93.75</v>
      </c>
      <c r="I27" s="39"/>
      <c r="J27" s="39"/>
      <c r="K27" s="39"/>
      <c r="L27" s="39"/>
      <c r="M27" s="39"/>
      <c r="N27" s="39"/>
    </row>
    <row r="28" spans="1:14" ht="14.25" customHeight="1" x14ac:dyDescent="0.2">
      <c r="A28" s="39"/>
      <c r="B28" s="54"/>
      <c r="C28" s="54"/>
      <c r="D28" s="54"/>
      <c r="E28" s="54"/>
      <c r="F28" s="54"/>
      <c r="G28" s="54"/>
      <c r="H28" s="54"/>
      <c r="I28" s="54"/>
      <c r="J28" s="54"/>
      <c r="K28" s="39"/>
      <c r="L28" s="39"/>
      <c r="M28" s="39"/>
      <c r="N28" s="39"/>
    </row>
    <row r="29" spans="1:14" ht="14.25" customHeight="1" x14ac:dyDescent="0.2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</row>
    <row r="30" spans="1:14" ht="14.25" customHeight="1" x14ac:dyDescent="0.2">
      <c r="A30" s="39"/>
    </row>
    <row r="31" spans="1:14" ht="14.25" customHeight="1" x14ac:dyDescent="0.2">
      <c r="A31" s="39"/>
    </row>
    <row r="32" spans="1:14" ht="14.25" customHeight="1" x14ac:dyDescent="0.2">
      <c r="A32" s="39"/>
    </row>
    <row r="33" spans="1:1" ht="14.25" customHeight="1" x14ac:dyDescent="0.2">
      <c r="A33" s="39"/>
    </row>
    <row r="34" spans="1:1" ht="14.25" customHeight="1" x14ac:dyDescent="0.2">
      <c r="A34" s="39"/>
    </row>
    <row r="35" spans="1:1" ht="14.25" customHeight="1" x14ac:dyDescent="0.2">
      <c r="A35" s="39"/>
    </row>
    <row r="36" spans="1:1" ht="14.25" customHeight="1" x14ac:dyDescent="0.2">
      <c r="A36" s="39"/>
    </row>
    <row r="37" spans="1:1" ht="14.25" customHeight="1" x14ac:dyDescent="0.2">
      <c r="A37" s="39"/>
    </row>
    <row r="38" spans="1:1" ht="14.25" customHeight="1" x14ac:dyDescent="0.2">
      <c r="A38" s="39"/>
    </row>
    <row r="39" spans="1:1" ht="14.25" customHeight="1" x14ac:dyDescent="0.2">
      <c r="A39" s="39"/>
    </row>
    <row r="40" spans="1:1" ht="14.25" customHeight="1" x14ac:dyDescent="0.2">
      <c r="A40" s="39"/>
    </row>
    <row r="41" spans="1:1" ht="14.25" customHeight="1" x14ac:dyDescent="0.2">
      <c r="A41" s="39"/>
    </row>
    <row r="42" spans="1:1" ht="14.25" customHeight="1" x14ac:dyDescent="0.2">
      <c r="A42" s="39"/>
    </row>
    <row r="43" spans="1:1" ht="14.25" customHeight="1" x14ac:dyDescent="0.2">
      <c r="A43" s="39"/>
    </row>
    <row r="44" spans="1:1" ht="14.25" customHeight="1" x14ac:dyDescent="0.2">
      <c r="A44" s="39"/>
    </row>
    <row r="45" spans="1:1" ht="14.25" customHeight="1" x14ac:dyDescent="0.2">
      <c r="A45" s="39"/>
    </row>
    <row r="46" spans="1:1" ht="14.25" customHeight="1" x14ac:dyDescent="0.2">
      <c r="A46" s="39"/>
    </row>
    <row r="47" spans="1:1" ht="14.25" customHeight="1" x14ac:dyDescent="0.2">
      <c r="A47" s="39"/>
    </row>
    <row r="48" spans="1:1" ht="14.25" customHeight="1" x14ac:dyDescent="0.2">
      <c r="A48" s="39"/>
    </row>
  </sheetData>
  <dataValidations count="1">
    <dataValidation allowBlank="1" showInputMessage="1" showErrorMessage="1" promptTitle="Input transaction fee assumption" prompt="Includes legal, accounting and advisory related fees.  Input as a % of the offer value." sqref="G27" xr:uid="{00000000-0002-0000-0200-000000000000}">
      <formula1>0</formula1>
      <formula2>0</formula2>
    </dataValidation>
  </dataValidations>
  <printOptions horizontalCentered="1"/>
  <pageMargins left="0.7" right="0.7" top="0.75" bottom="0.75" header="0.511811023622047" footer="0.511811023622047"/>
  <pageSetup scale="91" orientation="landscape" horizontalDpi="300" verticalDpi="300" r:id="rId1"/>
  <headerFooter>
    <oddFooter>&amp;LTyler Spencer&amp;CNot associated with Jersey Mike's Subs. For educational purposes only.&amp;R&amp;P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80"/>
  <sheetViews>
    <sheetView tabSelected="1" zoomScaleNormal="100" workbookViewId="0">
      <selection activeCell="L10" sqref="L10"/>
    </sheetView>
  </sheetViews>
  <sheetFormatPr defaultColWidth="9.140625" defaultRowHeight="15" x14ac:dyDescent="0.25"/>
  <cols>
    <col min="1" max="1" width="2.7109375" style="1" customWidth="1"/>
    <col min="2" max="6" width="9.140625" style="2"/>
    <col min="7" max="10" width="13" style="2" customWidth="1"/>
    <col min="11" max="16384" width="9.140625" style="2"/>
  </cols>
  <sheetData>
    <row r="1" spans="1:23" s="1" customFormat="1" ht="14.25" customHeight="1" x14ac:dyDescent="0.2">
      <c r="A1" s="39"/>
      <c r="B1" s="39"/>
      <c r="C1" s="39"/>
      <c r="D1" s="39"/>
      <c r="E1" s="39"/>
      <c r="F1" s="39"/>
      <c r="G1" s="40"/>
      <c r="H1" s="40"/>
      <c r="I1" s="40"/>
      <c r="J1" s="40"/>
      <c r="K1" s="39"/>
      <c r="L1" s="39"/>
    </row>
    <row r="2" spans="1:23" s="1" customFormat="1" ht="23.25" customHeight="1" x14ac:dyDescent="0.35">
      <c r="B2" s="97" t="str">
        <f>'LBO Entry'!B2</f>
        <v>Jersey Mike's Subs</v>
      </c>
      <c r="C2" s="97"/>
      <c r="D2" s="97"/>
      <c r="E2" s="97"/>
      <c r="F2" s="97"/>
      <c r="G2" s="97"/>
      <c r="H2" s="97"/>
      <c r="I2" s="97"/>
      <c r="J2" s="97"/>
      <c r="K2" s="97"/>
    </row>
    <row r="3" spans="1:23" s="1" customFormat="1" ht="18.75" customHeight="1" x14ac:dyDescent="0.25">
      <c r="B3" s="98" t="s">
        <v>73</v>
      </c>
      <c r="C3" s="98"/>
      <c r="D3" s="98"/>
      <c r="E3" s="98"/>
      <c r="F3" s="98"/>
      <c r="G3" s="98"/>
      <c r="H3" s="98"/>
      <c r="I3" s="98"/>
      <c r="J3" s="98"/>
      <c r="K3" s="98"/>
    </row>
    <row r="4" spans="1:23" s="1" customFormat="1" ht="14.25" customHeight="1" x14ac:dyDescent="0.2">
      <c r="A4" s="39"/>
      <c r="B4" s="42" t="s">
        <v>8</v>
      </c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23" ht="15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1:23" ht="15" customHeight="1" x14ac:dyDescent="0.25">
      <c r="A6" s="39"/>
      <c r="B6" s="44" t="s">
        <v>62</v>
      </c>
      <c r="C6" s="45"/>
      <c r="D6" s="45"/>
      <c r="E6" s="45"/>
      <c r="F6" s="46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</row>
    <row r="7" spans="1:23" ht="6" customHeight="1" x14ac:dyDescent="0.25">
      <c r="A7" s="39"/>
      <c r="B7" s="47"/>
      <c r="C7" s="48"/>
      <c r="D7" s="48"/>
      <c r="E7" s="48"/>
      <c r="F7" s="4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</row>
    <row r="8" spans="1:23" ht="15" customHeight="1" x14ac:dyDescent="0.25">
      <c r="A8" s="39"/>
      <c r="B8" s="56" t="s">
        <v>16</v>
      </c>
      <c r="C8" s="39"/>
      <c r="D8" s="39"/>
      <c r="E8" s="39"/>
      <c r="F8" s="119">
        <f>F10/F9</f>
        <v>387.09677419354841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spans="1:23" ht="15" customHeight="1" x14ac:dyDescent="0.25">
      <c r="A9" s="39"/>
      <c r="B9" s="56" t="s">
        <v>77</v>
      </c>
      <c r="C9" s="39"/>
      <c r="D9" s="39"/>
      <c r="E9" s="39"/>
      <c r="F9" s="112">
        <f>'Assumptions &amp; Financials'!E13</f>
        <v>31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spans="1:23" ht="15" customHeight="1" x14ac:dyDescent="0.25">
      <c r="A10" s="39"/>
      <c r="B10" s="56" t="s">
        <v>40</v>
      </c>
      <c r="C10" s="39"/>
      <c r="D10" s="39"/>
      <c r="E10" s="39"/>
      <c r="F10" s="117">
        <f>'Assumptions &amp; Financials'!E12</f>
        <v>12000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spans="1:23" ht="15" customHeight="1" x14ac:dyDescent="0.25">
      <c r="A11" s="39"/>
      <c r="B11" s="56"/>
      <c r="C11" s="39"/>
      <c r="D11" s="39"/>
      <c r="E11" s="39"/>
      <c r="F11" s="5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spans="1:23" ht="15" customHeight="1" x14ac:dyDescent="0.25">
      <c r="A12" s="39"/>
      <c r="B12" s="56" t="s">
        <v>63</v>
      </c>
      <c r="C12" s="39"/>
      <c r="D12" s="39"/>
      <c r="E12" s="39"/>
      <c r="F12" s="116">
        <f>-'Assumptions &amp; Financials'!E15</f>
        <v>-2100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spans="1:23" ht="15" customHeight="1" x14ac:dyDescent="0.25">
      <c r="A13" s="39"/>
      <c r="B13" s="60" t="s">
        <v>64</v>
      </c>
      <c r="C13" s="54"/>
      <c r="D13" s="54"/>
      <c r="E13" s="54"/>
      <c r="F13" s="79">
        <f>F10+F12</f>
        <v>9900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spans="1:23" ht="15" customHeight="1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spans="1:23" ht="15" customHeight="1" x14ac:dyDescent="0.25">
      <c r="A15" s="39"/>
      <c r="B15" s="80" t="s">
        <v>65</v>
      </c>
      <c r="C15" s="39"/>
      <c r="D15" s="81"/>
      <c r="E15" s="81"/>
      <c r="F15" s="82"/>
      <c r="G15" s="100" t="s">
        <v>3</v>
      </c>
      <c r="H15" s="100" t="s">
        <v>4</v>
      </c>
      <c r="I15" s="83">
        <f>'Assumptions &amp; Financials'!E10</f>
        <v>45673</v>
      </c>
      <c r="J15" s="83">
        <f>'Assumptions &amp; Financials'!E14</f>
        <v>46295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spans="1:23" ht="15" customHeight="1" x14ac:dyDescent="0.25">
      <c r="A16" s="39"/>
      <c r="B16" s="80"/>
      <c r="C16" s="39"/>
      <c r="D16" s="81"/>
      <c r="E16" s="81"/>
      <c r="F16" s="82"/>
      <c r="G16" s="83"/>
      <c r="H16" s="83"/>
      <c r="I16" s="83"/>
      <c r="J16" s="83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</row>
    <row r="17" spans="1:22" ht="15" customHeight="1" x14ac:dyDescent="0.25">
      <c r="A17" s="39"/>
      <c r="B17" s="84">
        <f>B18-1</f>
        <v>28</v>
      </c>
      <c r="C17" s="84"/>
      <c r="D17" s="84"/>
      <c r="E17" s="84"/>
      <c r="F17" s="39"/>
      <c r="G17" s="101">
        <f t="shared" ref="G17:G23" si="0">IFERROR((SUM(J17:J17)/-I17),"NM")</f>
        <v>1.579582951317585</v>
      </c>
      <c r="H17" s="102">
        <f t="shared" ref="H17:H23" si="1">IFERROR(XIRR(I17:J17,$I$15:$J$15),0)</f>
        <v>0.30769969820976262</v>
      </c>
      <c r="I17" s="70">
        <f>-'LBO Entry'!$D$25</f>
        <v>-4979.06026595</v>
      </c>
      <c r="J17" s="70">
        <f>($F$8*B17+$F$12)*(1-'Assumptions &amp; Financials'!$E$16)</f>
        <v>7864.8387096774204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</row>
    <row r="18" spans="1:22" ht="15" customHeight="1" x14ac:dyDescent="0.25">
      <c r="A18" s="39"/>
      <c r="B18" s="84">
        <f>B19-1</f>
        <v>29</v>
      </c>
      <c r="C18" s="84"/>
      <c r="D18" s="84"/>
      <c r="E18" s="84"/>
      <c r="F18" s="39"/>
      <c r="G18" s="101">
        <f t="shared" si="0"/>
        <v>1.6495534032031922</v>
      </c>
      <c r="H18" s="102">
        <f t="shared" si="1"/>
        <v>0.34138740897178654</v>
      </c>
      <c r="I18" s="70">
        <f>-'LBO Entry'!$D$25</f>
        <v>-4979.06026595</v>
      </c>
      <c r="J18" s="70">
        <f>($F$8*B18+$F$12)*(1-'Assumptions &amp; Financials'!$E$16)</f>
        <v>8213.2258064516136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spans="1:22" ht="15" customHeight="1" x14ac:dyDescent="0.25">
      <c r="A19" s="39"/>
      <c r="B19" s="84">
        <f>B20-1</f>
        <v>30</v>
      </c>
      <c r="C19" s="84"/>
      <c r="D19" s="84"/>
      <c r="E19" s="84"/>
      <c r="F19" s="39"/>
      <c r="G19" s="101">
        <f t="shared" si="0"/>
        <v>1.7195238550887995</v>
      </c>
      <c r="H19" s="102">
        <f t="shared" si="1"/>
        <v>0.37448963522911072</v>
      </c>
      <c r="I19" s="70">
        <f>-'LBO Entry'!$D$25</f>
        <v>-4979.06026595</v>
      </c>
      <c r="J19" s="70">
        <f>($F$8*B19+$F$12)*(1-'Assumptions &amp; Financials'!$E$16)</f>
        <v>8561.6129032258068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</row>
    <row r="20" spans="1:22" ht="15" customHeight="1" x14ac:dyDescent="0.25">
      <c r="A20" s="39"/>
      <c r="B20" s="84">
        <f>F9</f>
        <v>31</v>
      </c>
      <c r="C20" s="84"/>
      <c r="D20" s="84"/>
      <c r="E20" s="84"/>
      <c r="F20" s="39"/>
      <c r="G20" s="101">
        <f t="shared" si="0"/>
        <v>1.7894943069744067</v>
      </c>
      <c r="H20" s="102">
        <f t="shared" si="1"/>
        <v>0.40703979134559631</v>
      </c>
      <c r="I20" s="70">
        <f>-'LBO Entry'!$D$25</f>
        <v>-4979.06026595</v>
      </c>
      <c r="J20" s="70">
        <f>($F$8*B20+$F$12)*(1-'Assumptions &amp; Financials'!$E$16)</f>
        <v>8910</v>
      </c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</row>
    <row r="21" spans="1:22" ht="15" customHeight="1" x14ac:dyDescent="0.25">
      <c r="A21" s="39"/>
      <c r="B21" s="84">
        <f>B20+1</f>
        <v>32</v>
      </c>
      <c r="C21" s="84"/>
      <c r="D21" s="84"/>
      <c r="E21" s="84"/>
      <c r="F21" s="39"/>
      <c r="G21" s="101">
        <f t="shared" si="0"/>
        <v>1.8594647588600142</v>
      </c>
      <c r="H21" s="102">
        <f t="shared" si="1"/>
        <v>0.4390681326389313</v>
      </c>
      <c r="I21" s="70">
        <f>-'LBO Entry'!$D$25</f>
        <v>-4979.06026595</v>
      </c>
      <c r="J21" s="70">
        <f>($F$8*B21+$F$12)*(1-'Assumptions &amp; Financials'!$E$16)</f>
        <v>9258.387096774195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 spans="1:22" ht="15" customHeight="1" x14ac:dyDescent="0.25">
      <c r="A22" s="39"/>
      <c r="B22" s="84">
        <f>B21+1</f>
        <v>33</v>
      </c>
      <c r="C22" s="84"/>
      <c r="D22" s="84"/>
      <c r="E22" s="84"/>
      <c r="F22" s="39"/>
      <c r="G22" s="101">
        <f t="shared" si="0"/>
        <v>1.9294352107456214</v>
      </c>
      <c r="H22" s="102">
        <f t="shared" si="1"/>
        <v>0.4706022083759307</v>
      </c>
      <c r="I22" s="70">
        <f>-'LBO Entry'!$D$25</f>
        <v>-4979.06026595</v>
      </c>
      <c r="J22" s="70">
        <f>($F$8*B22+$F$12)*(1-'Assumptions &amp; Financials'!$E$16)</f>
        <v>9606.7741935483882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</row>
    <row r="23" spans="1:22" ht="15" customHeight="1" x14ac:dyDescent="0.25">
      <c r="A23" s="39"/>
      <c r="B23" s="84">
        <f>B22+1</f>
        <v>34</v>
      </c>
      <c r="C23" s="84"/>
      <c r="D23" s="84"/>
      <c r="E23" s="84"/>
      <c r="F23" s="39"/>
      <c r="G23" s="101">
        <f t="shared" si="0"/>
        <v>1.9994056626312287</v>
      </c>
      <c r="H23" s="102">
        <f t="shared" si="1"/>
        <v>0.50166718363761897</v>
      </c>
      <c r="I23" s="70">
        <f>-'LBO Entry'!$D$25</f>
        <v>-4979.06026595</v>
      </c>
      <c r="J23" s="70">
        <f>($F$8*B23+$F$12)*(1-'Assumptions &amp; Financials'!$E$16)</f>
        <v>9955.1612903225814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</row>
    <row r="24" spans="1:22" ht="15" customHeight="1" x14ac:dyDescent="0.25">
      <c r="A24" s="39"/>
      <c r="B24" s="54"/>
      <c r="C24" s="54"/>
      <c r="D24" s="54"/>
      <c r="E24" s="85"/>
      <c r="F24" s="54"/>
      <c r="G24" s="54"/>
      <c r="H24" s="54"/>
      <c r="I24" s="54"/>
      <c r="J24" s="54"/>
      <c r="K24" s="54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spans="1:22" ht="15" customHeight="1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spans="1:22" ht="15" customHeight="1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spans="1:22" ht="15" customHeight="1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spans="1:22" ht="15" customHeight="1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ht="15" customHeight="1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spans="1:22" ht="15" customHeight="1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spans="1:22" ht="15" customHeight="1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spans="1:22" ht="15" customHeight="1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spans="1:22" ht="15" customHeight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spans="1:22" ht="15" customHeight="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spans="1:22" ht="15" customHeight="1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spans="1:22" ht="15" customHeight="1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spans="1:22" ht="15" customHeight="1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spans="1:22" ht="15" customHeight="1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spans="1:22" ht="15" customHeight="1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spans="1:22" ht="15" customHeight="1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spans="1:22" ht="15" customHeight="1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spans="1:22" ht="15" customHeight="1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spans="1:22" ht="15" customHeight="1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spans="1:22" ht="15" customHeight="1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spans="1:22" ht="15" customHeight="1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  <row r="46" spans="1:22" ht="15" customHeight="1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</row>
    <row r="47" spans="1:22" ht="15" customHeight="1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spans="1:22" ht="15" customHeight="1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</row>
    <row r="49" spans="1:22" ht="15" customHeight="1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spans="1:22" ht="15" customHeight="1" x14ac:dyDescent="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  <row r="51" spans="1:22" ht="15" customHeight="1" x14ac:dyDescent="0.2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</row>
    <row r="52" spans="1:22" ht="15" customHeight="1" x14ac:dyDescent="0.2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</row>
    <row r="53" spans="1:22" ht="15" customHeight="1" x14ac:dyDescent="0.2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</row>
    <row r="54" spans="1:22" ht="15" customHeight="1" x14ac:dyDescent="0.25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</row>
    <row r="55" spans="1:22" ht="15" customHeight="1" x14ac:dyDescent="0.2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</row>
    <row r="56" spans="1:22" ht="15" customHeight="1" x14ac:dyDescent="0.2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spans="1:22" ht="15" customHeight="1" x14ac:dyDescent="0.2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</row>
    <row r="58" spans="1:22" ht="15" customHeight="1" x14ac:dyDescent="0.2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spans="1:22" ht="15" customHeight="1" x14ac:dyDescent="0.2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spans="1:22" ht="15" customHeight="1" x14ac:dyDescent="0.25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spans="1:22" ht="15" customHeight="1" x14ac:dyDescent="0.25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spans="1:22" ht="15" customHeight="1" x14ac:dyDescent="0.25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spans="1:22" ht="15" customHeight="1" x14ac:dyDescent="0.25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spans="1:22" ht="15" customHeight="1" x14ac:dyDescent="0.25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spans="2:22" ht="15" customHeight="1" x14ac:dyDescent="0.25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spans="2:22" ht="15" customHeight="1" x14ac:dyDescent="0.25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spans="2:22" ht="15" customHeight="1" x14ac:dyDescent="0.25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spans="2:22" ht="15" customHeight="1" x14ac:dyDescent="0.25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spans="2:22" ht="15" customHeight="1" x14ac:dyDescent="0.25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2:22" ht="15" customHeight="1" x14ac:dyDescent="0.25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spans="2:22" ht="15" customHeight="1" x14ac:dyDescent="0.25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spans="2:22" ht="15" customHeight="1" x14ac:dyDescent="0.25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spans="2:22" ht="15" customHeight="1" x14ac:dyDescent="0.25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spans="2:22" ht="15" customHeight="1" x14ac:dyDescent="0.25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spans="2:22" ht="15" customHeight="1" x14ac:dyDescent="0.25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spans="2:22" ht="15" customHeight="1" x14ac:dyDescent="0.25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spans="2:22" ht="15" customHeight="1" x14ac:dyDescent="0.25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spans="2:22" ht="15" customHeight="1" x14ac:dyDescent="0.25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spans="2:22" ht="15" customHeight="1" x14ac:dyDescent="0.25"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spans="2:22" ht="15" customHeight="1" x14ac:dyDescent="0.25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</sheetData>
  <printOptions horizontalCentered="1"/>
  <pageMargins left="0.7" right="0.7" top="0.75" bottom="0.75" header="0.511811023622047" footer="0.511811023622047"/>
  <pageSetup fitToHeight="0" orientation="landscape" horizontalDpi="300" verticalDpi="300" r:id="rId1"/>
  <headerFooter>
    <oddFooter>&amp;LTyler Spencer&amp;CNot associated with Jersey Mike's Subs. For educational purposes only.&amp;R&amp;P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Cover</vt:lpstr>
      <vt:lpstr>Assumptions &amp; Financials</vt:lpstr>
      <vt:lpstr>LBO Entry</vt:lpstr>
      <vt:lpstr>LBO Exit</vt:lpstr>
      <vt:lpstr>'Assumptions &amp; Financials'!Print_Area</vt:lpstr>
      <vt:lpstr>Cover!Print_Area</vt:lpstr>
      <vt:lpstr>'LBO Entry'!Print_Area</vt:lpstr>
      <vt:lpstr>'LBO Exit'!Print_Area</vt:lpstr>
      <vt:lpstr>'Assumptions &amp; Financials'!Print_Titles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S</dc:creator>
  <dc:description/>
  <cp:lastModifiedBy>Tyler S</cp:lastModifiedBy>
  <cp:revision>0</cp:revision>
  <cp:lastPrinted>2026-07-07T01:44:25Z</cp:lastPrinted>
  <dcterms:created xsi:type="dcterms:W3CDTF">2026-07-06T22:09:58Z</dcterms:created>
  <dcterms:modified xsi:type="dcterms:W3CDTF">2026-07-07T01:45:05Z</dcterms:modified>
  <dc:language>en-US</dc:language>
</cp:coreProperties>
</file>